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3.xml" ContentType="application/vnd.openxmlformats-officedocument.drawing+xml"/>
  <Override PartName="/xl/ctrlProps/ctrlProp26.xml" ContentType="application/vnd.ms-excel.controlproperties+xml"/>
  <Override PartName="/xl/drawings/drawing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war\Downloads\"/>
    </mc:Choice>
  </mc:AlternateContent>
  <xr:revisionPtr revIDLastSave="0" documentId="13_ncr:1_{99829BA5-EF58-4C6A-9FD5-3048F50CAAFD}" xr6:coauthVersionLast="45" xr6:coauthVersionMax="45" xr10:uidLastSave="{00000000-0000-0000-0000-000000000000}"/>
  <bookViews>
    <workbookView minimized="1" xWindow="2295" yWindow="2295" windowWidth="20730" windowHeight="11160" tabRatio="651" firstSheet="2" activeTab="2" xr2:uid="{B6ED242C-DC14-450B-8C5D-44AC52B3C1D5}"/>
  </bookViews>
  <sheets>
    <sheet name="INPUT" sheetId="1" r:id="rId1"/>
    <sheet name="OUTPUT" sheetId="2" r:id="rId2"/>
    <sheet name="TABEL" sheetId="4" r:id="rId3"/>
    <sheet name="GRAPH" sheetId="5" r:id="rId4"/>
    <sheet name="NOTES" sheetId="6" r:id="rId5"/>
    <sheet name="CORET" sheetId="3" r:id="rId6"/>
  </sheets>
  <functionGroups builtInGroupCount="19"/>
  <definedNames>
    <definedName name="option">CORET!$R$1</definedName>
    <definedName name="_xlnm.Print_Area" localSheetId="0">INPUT!$A$1:$F$20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0" i="4" l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H7" i="1"/>
  <c r="E19" i="1"/>
  <c r="B18" i="1"/>
  <c r="I6" i="1" l="1"/>
  <c r="J6" i="1" s="1"/>
  <c r="I5" i="1"/>
  <c r="Q2" i="3" l="1"/>
  <c r="Q3" i="3" s="1"/>
  <c r="Q4" i="3" s="1"/>
  <c r="Q5" i="3" s="1"/>
  <c r="Q6" i="3" s="1"/>
  <c r="Q7" i="3" s="1"/>
  <c r="Q8" i="3" s="1"/>
  <c r="Q9" i="3" s="1"/>
  <c r="Q10" i="3" s="1"/>
  <c r="Q11" i="3" s="1"/>
  <c r="Q12" i="3" s="1"/>
  <c r="Q13" i="3" s="1"/>
  <c r="Q14" i="3" s="1"/>
  <c r="Q15" i="3" s="1"/>
  <c r="Q16" i="3" s="1"/>
  <c r="Q17" i="3" s="1"/>
  <c r="Q18" i="3" s="1"/>
  <c r="Q19" i="3" s="1"/>
  <c r="Q20" i="3" s="1"/>
  <c r="Q21" i="3" s="1"/>
  <c r="Q22" i="3" s="1"/>
  <c r="Q23" i="3" s="1"/>
  <c r="Q24" i="3" s="1"/>
  <c r="Q25" i="3" s="1"/>
  <c r="Q26" i="3" s="1"/>
  <c r="Q27" i="3" s="1"/>
  <c r="Q28" i="3" s="1"/>
  <c r="Q29" i="3" s="1"/>
  <c r="Q30" i="3" s="1"/>
  <c r="Q31" i="3" s="1"/>
  <c r="Q32" i="3" s="1"/>
  <c r="Q33" i="3" s="1"/>
  <c r="Q34" i="3" s="1"/>
  <c r="Q35" i="3" s="1"/>
  <c r="Q36" i="3" s="1"/>
  <c r="Q37" i="3" s="1"/>
  <c r="Q38" i="3" s="1"/>
  <c r="A7" i="4"/>
  <c r="S1" i="3"/>
  <c r="B6" i="2"/>
  <c r="P7" i="4"/>
  <c r="B4" i="2"/>
  <c r="B28" i="2"/>
  <c r="B27" i="2"/>
  <c r="B16" i="2"/>
  <c r="B7" i="4" l="1"/>
  <c r="B15" i="2"/>
  <c r="B15" i="1" s="1"/>
  <c r="G7" i="4"/>
  <c r="M7" i="4"/>
  <c r="B24" i="2"/>
  <c r="N7" i="4"/>
  <c r="O7" i="4"/>
  <c r="D7" i="4"/>
  <c r="B5" i="2"/>
  <c r="B26" i="2"/>
  <c r="B17" i="2"/>
  <c r="C7" i="4"/>
  <c r="B25" i="2"/>
  <c r="B13" i="2"/>
  <c r="B8" i="2"/>
  <c r="B10" i="2"/>
  <c r="E12" i="1" l="1"/>
  <c r="B7" i="2"/>
  <c r="B12" i="1" s="1"/>
  <c r="B8" i="4"/>
  <c r="G8" i="4"/>
  <c r="M8" i="4"/>
  <c r="D8" i="4"/>
  <c r="F7" i="4"/>
  <c r="E7" i="4"/>
  <c r="I7" i="4"/>
  <c r="Q7" i="4" s="1"/>
  <c r="P8" i="4"/>
  <c r="B21" i="2"/>
  <c r="B29" i="2"/>
  <c r="B9" i="2"/>
  <c r="F8" i="4"/>
  <c r="H7" i="4"/>
  <c r="D20" i="3"/>
  <c r="B22" i="2"/>
  <c r="B20" i="2"/>
  <c r="D19" i="3"/>
  <c r="I8" i="4"/>
  <c r="K8" i="4" s="1"/>
  <c r="J8" i="4"/>
  <c r="Q4" i="1"/>
  <c r="O8" i="4"/>
  <c r="N8" i="4"/>
  <c r="C8" i="4"/>
  <c r="B19" i="2"/>
  <c r="K7" i="4"/>
  <c r="S2" i="3" l="1"/>
  <c r="N9" i="4"/>
  <c r="H8" i="4"/>
  <c r="L8" i="4"/>
  <c r="J7" i="4"/>
  <c r="P9" i="4"/>
  <c r="L7" i="4"/>
  <c r="Q8" i="4"/>
  <c r="E8" i="4"/>
  <c r="I9" i="4"/>
  <c r="B23" i="2"/>
  <c r="J9" i="4"/>
  <c r="K9" i="4"/>
  <c r="S3" i="3" l="1"/>
  <c r="B9" i="4"/>
  <c r="C9" i="4"/>
  <c r="M9" i="4"/>
  <c r="G9" i="4"/>
  <c r="Q9" i="4"/>
  <c r="O9" i="4"/>
  <c r="P10" i="4"/>
  <c r="F9" i="4"/>
  <c r="L9" i="4"/>
  <c r="I10" i="4"/>
  <c r="K10" i="4" s="1"/>
  <c r="H9" i="4"/>
  <c r="N10" i="4"/>
  <c r="B10" i="4" l="1"/>
  <c r="C10" i="4"/>
  <c r="M10" i="4"/>
  <c r="G10" i="4"/>
  <c r="O10" i="4"/>
  <c r="Q10" i="4"/>
  <c r="I11" i="4"/>
  <c r="L10" i="4"/>
  <c r="H10" i="4"/>
  <c r="D9" i="4"/>
  <c r="J10" i="4"/>
  <c r="F10" i="4"/>
  <c r="N11" i="4"/>
  <c r="P11" i="4"/>
  <c r="S4" i="3" l="1"/>
  <c r="B11" i="4"/>
  <c r="M11" i="4"/>
  <c r="G11" i="4"/>
  <c r="E9" i="4"/>
  <c r="K11" i="4"/>
  <c r="O11" i="4"/>
  <c r="D10" i="4"/>
  <c r="H11" i="4"/>
  <c r="I12" i="4"/>
  <c r="C11" i="4"/>
  <c r="Q11" i="4"/>
  <c r="F11" i="4"/>
  <c r="N12" i="4"/>
  <c r="L11" i="4"/>
  <c r="J11" i="4"/>
  <c r="P12" i="4"/>
  <c r="S5" i="3" l="1"/>
  <c r="B12" i="4"/>
  <c r="M12" i="4"/>
  <c r="G12" i="4"/>
  <c r="J12" i="4"/>
  <c r="E10" i="4"/>
  <c r="Q12" i="4"/>
  <c r="L12" i="4"/>
  <c r="C12" i="4"/>
  <c r="O12" i="4"/>
  <c r="K12" i="4"/>
  <c r="D11" i="4"/>
  <c r="N13" i="4"/>
  <c r="H12" i="4"/>
  <c r="I13" i="4"/>
  <c r="F12" i="4"/>
  <c r="P13" i="4"/>
  <c r="K13" i="4"/>
  <c r="S6" i="3" l="1"/>
  <c r="B13" i="4"/>
  <c r="M13" i="4"/>
  <c r="G13" i="4"/>
  <c r="D12" i="4"/>
  <c r="Q13" i="4"/>
  <c r="O13" i="4"/>
  <c r="I14" i="4"/>
  <c r="L13" i="4"/>
  <c r="J14" i="4"/>
  <c r="E11" i="4"/>
  <c r="H13" i="4"/>
  <c r="N14" i="4"/>
  <c r="P14" i="4"/>
  <c r="F13" i="4"/>
  <c r="J13" i="4"/>
  <c r="C13" i="4"/>
  <c r="S7" i="3" l="1"/>
  <c r="B14" i="4"/>
  <c r="M14" i="4"/>
  <c r="G14" i="4"/>
  <c r="C14" i="4"/>
  <c r="Q14" i="4"/>
  <c r="P15" i="4"/>
  <c r="L14" i="4"/>
  <c r="H14" i="4"/>
  <c r="F14" i="4"/>
  <c r="D13" i="4"/>
  <c r="E12" i="4"/>
  <c r="I15" i="4"/>
  <c r="K14" i="4"/>
  <c r="O14" i="4"/>
  <c r="N15" i="4"/>
  <c r="J15" i="4"/>
  <c r="S8" i="3" l="1"/>
  <c r="B15" i="4"/>
  <c r="M15" i="4"/>
  <c r="G15" i="4"/>
  <c r="C15" i="4"/>
  <c r="O15" i="4"/>
  <c r="L15" i="4"/>
  <c r="H15" i="4"/>
  <c r="P16" i="4"/>
  <c r="Q15" i="4"/>
  <c r="K15" i="4"/>
  <c r="I16" i="4"/>
  <c r="K16" i="4" s="1"/>
  <c r="E13" i="4"/>
  <c r="H16" i="4"/>
  <c r="N16" i="4"/>
  <c r="F15" i="4"/>
  <c r="D14" i="4"/>
  <c r="S9" i="3" l="1"/>
  <c r="B16" i="4"/>
  <c r="M16" i="4"/>
  <c r="G16" i="4"/>
  <c r="C16" i="4"/>
  <c r="I17" i="4"/>
  <c r="L16" i="4"/>
  <c r="J17" i="4"/>
  <c r="N17" i="4"/>
  <c r="Q16" i="4"/>
  <c r="H17" i="4"/>
  <c r="F16" i="4"/>
  <c r="D15" i="4"/>
  <c r="O16" i="4"/>
  <c r="E14" i="4"/>
  <c r="J16" i="4"/>
  <c r="P17" i="4"/>
  <c r="K17" i="4"/>
  <c r="S10" i="3" l="1"/>
  <c r="B17" i="4"/>
  <c r="M17" i="4"/>
  <c r="G17" i="4"/>
  <c r="O17" i="4"/>
  <c r="P18" i="4"/>
  <c r="E15" i="4"/>
  <c r="N18" i="4"/>
  <c r="C17" i="4"/>
  <c r="L17" i="4"/>
  <c r="F17" i="4"/>
  <c r="D16" i="4"/>
  <c r="Q17" i="4"/>
  <c r="I18" i="4"/>
  <c r="S11" i="3" l="1"/>
  <c r="B18" i="4"/>
  <c r="M18" i="4"/>
  <c r="G18" i="4"/>
  <c r="J18" i="4"/>
  <c r="E16" i="4"/>
  <c r="I19" i="4"/>
  <c r="L18" i="4"/>
  <c r="P19" i="4"/>
  <c r="H18" i="4"/>
  <c r="J19" i="4"/>
  <c r="C18" i="4"/>
  <c r="D17" i="4"/>
  <c r="F18" i="4"/>
  <c r="Q18" i="4"/>
  <c r="O18" i="4"/>
  <c r="N19" i="4"/>
  <c r="D18" i="4"/>
  <c r="K18" i="4"/>
  <c r="S12" i="3" l="1"/>
  <c r="S13" i="3"/>
  <c r="B19" i="4"/>
  <c r="M19" i="4"/>
  <c r="G19" i="4"/>
  <c r="K19" i="4"/>
  <c r="L19" i="4"/>
  <c r="C19" i="4"/>
  <c r="E18" i="4"/>
  <c r="N20" i="4"/>
  <c r="E17" i="4"/>
  <c r="H19" i="4"/>
  <c r="F19" i="4"/>
  <c r="Q19" i="4"/>
  <c r="P20" i="4"/>
  <c r="I20" i="4"/>
  <c r="O19" i="4"/>
  <c r="K20" i="4"/>
  <c r="J20" i="4"/>
  <c r="B20" i="4" l="1"/>
  <c r="M20" i="4"/>
  <c r="G20" i="4"/>
  <c r="I21" i="4"/>
  <c r="H20" i="4"/>
  <c r="O20" i="4"/>
  <c r="Q20" i="4"/>
  <c r="P21" i="4"/>
  <c r="F20" i="4"/>
  <c r="J21" i="4"/>
  <c r="L20" i="4"/>
  <c r="N21" i="4"/>
  <c r="C20" i="4"/>
  <c r="D19" i="4"/>
  <c r="S14" i="3" l="1"/>
  <c r="B21" i="4"/>
  <c r="M21" i="4"/>
  <c r="G21" i="4"/>
  <c r="F21" i="4"/>
  <c r="N22" i="4"/>
  <c r="H21" i="4"/>
  <c r="D21" i="4"/>
  <c r="K21" i="4"/>
  <c r="D20" i="4"/>
  <c r="Q21" i="4"/>
  <c r="I22" i="4"/>
  <c r="J22" i="4" s="1"/>
  <c r="P22" i="4"/>
  <c r="C21" i="4"/>
  <c r="O21" i="4"/>
  <c r="E19" i="4"/>
  <c r="L21" i="4"/>
  <c r="S15" i="3" l="1"/>
  <c r="S16" i="3"/>
  <c r="B22" i="4"/>
  <c r="M22" i="4"/>
  <c r="G22" i="4"/>
  <c r="H22" i="4"/>
  <c r="Q22" i="4"/>
  <c r="L22" i="4"/>
  <c r="K22" i="4"/>
  <c r="N23" i="4"/>
  <c r="E21" i="4"/>
  <c r="F22" i="4"/>
  <c r="E20" i="4"/>
  <c r="O22" i="4"/>
  <c r="C22" i="4"/>
  <c r="I23" i="4"/>
  <c r="P23" i="4"/>
  <c r="H23" i="4"/>
  <c r="K23" i="4"/>
  <c r="J23" i="4"/>
  <c r="B23" i="4" l="1"/>
  <c r="M23" i="4"/>
  <c r="G23" i="4"/>
  <c r="N24" i="4"/>
  <c r="I24" i="4"/>
  <c r="P24" i="4"/>
  <c r="Q23" i="4"/>
  <c r="H24" i="4"/>
  <c r="L23" i="4"/>
  <c r="C23" i="4"/>
  <c r="F23" i="4"/>
  <c r="D22" i="4"/>
  <c r="O23" i="4"/>
  <c r="S17" i="3" l="1"/>
  <c r="B24" i="4"/>
  <c r="M24" i="4"/>
  <c r="G24" i="4"/>
  <c r="Q24" i="4"/>
  <c r="F24" i="4"/>
  <c r="O24" i="4"/>
  <c r="I25" i="4"/>
  <c r="K25" i="4" s="1"/>
  <c r="E22" i="4"/>
  <c r="N25" i="4"/>
  <c r="J24" i="4"/>
  <c r="L24" i="4"/>
  <c r="P25" i="4"/>
  <c r="J25" i="4"/>
  <c r="K24" i="4"/>
  <c r="D23" i="4"/>
  <c r="C24" i="4"/>
  <c r="S18" i="3" l="1"/>
  <c r="B25" i="4"/>
  <c r="M25" i="4"/>
  <c r="G25" i="4"/>
  <c r="N26" i="4"/>
  <c r="H25" i="4"/>
  <c r="P26" i="4"/>
  <c r="L25" i="4"/>
  <c r="C25" i="4"/>
  <c r="I26" i="4"/>
  <c r="H26" i="4" s="1"/>
  <c r="Q25" i="4"/>
  <c r="E23" i="4"/>
  <c r="F25" i="4"/>
  <c r="O25" i="4"/>
  <c r="D24" i="4"/>
  <c r="S19" i="3" l="1"/>
  <c r="B26" i="4"/>
  <c r="M26" i="4"/>
  <c r="G26" i="4"/>
  <c r="F26" i="4"/>
  <c r="E24" i="4"/>
  <c r="C26" i="4"/>
  <c r="P27" i="4"/>
  <c r="D25" i="4"/>
  <c r="J26" i="4"/>
  <c r="K26" i="4"/>
  <c r="Q26" i="4"/>
  <c r="L26" i="4"/>
  <c r="N27" i="4"/>
  <c r="O26" i="4"/>
  <c r="I27" i="4"/>
  <c r="H27" i="4"/>
  <c r="S20" i="3" l="1"/>
  <c r="B27" i="4"/>
  <c r="M27" i="4"/>
  <c r="G27" i="4"/>
  <c r="J27" i="4"/>
  <c r="F27" i="4"/>
  <c r="I28" i="4"/>
  <c r="P28" i="4"/>
  <c r="C27" i="4"/>
  <c r="K27" i="4"/>
  <c r="H28" i="4"/>
  <c r="N28" i="4"/>
  <c r="J28" i="4"/>
  <c r="D26" i="4"/>
  <c r="L27" i="4"/>
  <c r="O27" i="4"/>
  <c r="E25" i="4"/>
  <c r="Q27" i="4"/>
  <c r="S21" i="3" l="1"/>
  <c r="B28" i="4"/>
  <c r="M28" i="4"/>
  <c r="G28" i="4"/>
  <c r="F28" i="4"/>
  <c r="P29" i="4"/>
  <c r="I29" i="4"/>
  <c r="L28" i="4"/>
  <c r="O28" i="4"/>
  <c r="N29" i="4"/>
  <c r="E26" i="4"/>
  <c r="D27" i="4"/>
  <c r="H29" i="4"/>
  <c r="K28" i="4"/>
  <c r="C28" i="4"/>
  <c r="Q28" i="4"/>
  <c r="S22" i="3" l="1"/>
  <c r="B29" i="4"/>
  <c r="M29" i="4"/>
  <c r="G29" i="4"/>
  <c r="D28" i="4"/>
  <c r="E27" i="4"/>
  <c r="K29" i="4"/>
  <c r="Q29" i="4"/>
  <c r="F29" i="4"/>
  <c r="P30" i="4"/>
  <c r="I30" i="4"/>
  <c r="N30" i="4"/>
  <c r="O29" i="4"/>
  <c r="J29" i="4"/>
  <c r="C29" i="4"/>
  <c r="L29" i="4"/>
  <c r="H30" i="4"/>
  <c r="S23" i="3" l="1"/>
  <c r="B30" i="4"/>
  <c r="M30" i="4"/>
  <c r="G30" i="4"/>
  <c r="K30" i="4"/>
  <c r="E28" i="4"/>
  <c r="P31" i="4"/>
  <c r="L30" i="4"/>
  <c r="N31" i="4"/>
  <c r="O30" i="4"/>
  <c r="J30" i="4"/>
  <c r="I31" i="4"/>
  <c r="D29" i="4"/>
  <c r="C30" i="4"/>
  <c r="Q30" i="4"/>
  <c r="F30" i="4"/>
  <c r="H31" i="4"/>
  <c r="S24" i="3" l="1"/>
  <c r="B31" i="4"/>
  <c r="M31" i="4"/>
  <c r="G31" i="4"/>
  <c r="K31" i="4"/>
  <c r="F31" i="4"/>
  <c r="L31" i="4"/>
  <c r="J31" i="4"/>
  <c r="O31" i="4"/>
  <c r="Q31" i="4"/>
  <c r="D30" i="4"/>
  <c r="N32" i="4"/>
  <c r="I32" i="4"/>
  <c r="H32" i="4" s="1"/>
  <c r="K32" i="4"/>
  <c r="E29" i="4"/>
  <c r="C31" i="4"/>
  <c r="P32" i="4"/>
  <c r="S25" i="3" l="1"/>
  <c r="B32" i="4"/>
  <c r="M32" i="4"/>
  <c r="G32" i="4"/>
  <c r="C32" i="4"/>
  <c r="N33" i="4"/>
  <c r="O32" i="4"/>
  <c r="D31" i="4"/>
  <c r="Q32" i="4"/>
  <c r="P33" i="4"/>
  <c r="I33" i="4"/>
  <c r="E30" i="4"/>
  <c r="L32" i="4"/>
  <c r="H33" i="4"/>
  <c r="J32" i="4"/>
  <c r="F32" i="4"/>
  <c r="S26" i="3" l="1"/>
  <c r="B33" i="4"/>
  <c r="M33" i="4"/>
  <c r="G33" i="4"/>
  <c r="K33" i="4"/>
  <c r="E31" i="4"/>
  <c r="O33" i="4"/>
  <c r="C33" i="4"/>
  <c r="N34" i="4"/>
  <c r="Q33" i="4"/>
  <c r="J33" i="4"/>
  <c r="F33" i="4"/>
  <c r="P34" i="4"/>
  <c r="L33" i="4"/>
  <c r="I34" i="4"/>
  <c r="D32" i="4"/>
  <c r="J34" i="4"/>
  <c r="K34" i="4"/>
  <c r="H34" i="4"/>
  <c r="S27" i="3" l="1"/>
  <c r="B34" i="4"/>
  <c r="M34" i="4"/>
  <c r="G34" i="4"/>
  <c r="O34" i="4"/>
  <c r="L34" i="4"/>
  <c r="Q34" i="4"/>
  <c r="N35" i="4"/>
  <c r="D33" i="4"/>
  <c r="C34" i="4"/>
  <c r="P35" i="4"/>
  <c r="E32" i="4"/>
  <c r="I35" i="4"/>
  <c r="F34" i="4"/>
  <c r="J35" i="4"/>
  <c r="H35" i="4"/>
  <c r="S28" i="3" l="1"/>
  <c r="B35" i="4"/>
  <c r="M35" i="4"/>
  <c r="G35" i="4"/>
  <c r="L35" i="4"/>
  <c r="C35" i="4"/>
  <c r="P36" i="4"/>
  <c r="F35" i="4"/>
  <c r="N36" i="4"/>
  <c r="O35" i="4"/>
  <c r="D34" i="4"/>
  <c r="I36" i="4"/>
  <c r="H36" i="4" s="1"/>
  <c r="E33" i="4"/>
  <c r="K35" i="4"/>
  <c r="Q35" i="4"/>
  <c r="J36" i="4"/>
  <c r="S29" i="3" l="1"/>
  <c r="B36" i="4"/>
  <c r="M36" i="4"/>
  <c r="G36" i="4"/>
  <c r="O36" i="4"/>
  <c r="C36" i="4"/>
  <c r="N37" i="4"/>
  <c r="P37" i="4"/>
  <c r="I37" i="4"/>
  <c r="H37" i="4" s="1"/>
  <c r="K36" i="4"/>
  <c r="L36" i="4"/>
  <c r="F36" i="4"/>
  <c r="J37" i="4"/>
  <c r="E34" i="4"/>
  <c r="Q36" i="4"/>
  <c r="D35" i="4"/>
  <c r="S30" i="3" l="1"/>
  <c r="B37" i="4"/>
  <c r="M37" i="4"/>
  <c r="G37" i="4"/>
  <c r="D36" i="4"/>
  <c r="C37" i="4"/>
  <c r="K37" i="4"/>
  <c r="Q37" i="4"/>
  <c r="L37" i="4"/>
  <c r="I38" i="4"/>
  <c r="H38" i="4" s="1"/>
  <c r="J38" i="4"/>
  <c r="P38" i="4"/>
  <c r="E35" i="4"/>
  <c r="F37" i="4"/>
  <c r="N38" i="4"/>
  <c r="O37" i="4"/>
  <c r="S31" i="3" l="1"/>
  <c r="B38" i="4"/>
  <c r="M38" i="4"/>
  <c r="G38" i="4"/>
  <c r="D37" i="4"/>
  <c r="L38" i="4"/>
  <c r="Q38" i="4"/>
  <c r="O38" i="4"/>
  <c r="E36" i="4"/>
  <c r="F38" i="4"/>
  <c r="C38" i="4"/>
  <c r="I39" i="4"/>
  <c r="J39" i="4" s="1"/>
  <c r="K38" i="4"/>
  <c r="P39" i="4"/>
  <c r="K39" i="4"/>
  <c r="N39" i="4"/>
  <c r="S32" i="3" l="1"/>
  <c r="B39" i="4"/>
  <c r="M39" i="4"/>
  <c r="G39" i="4"/>
  <c r="L39" i="4"/>
  <c r="N40" i="4"/>
  <c r="Q39" i="4"/>
  <c r="C39" i="4"/>
  <c r="I40" i="4"/>
  <c r="E37" i="4"/>
  <c r="O39" i="4"/>
  <c r="K40" i="4"/>
  <c r="F39" i="4"/>
  <c r="P40" i="4"/>
  <c r="H39" i="4"/>
  <c r="D38" i="4"/>
  <c r="S33" i="3" l="1"/>
  <c r="B40" i="4"/>
  <c r="M40" i="4"/>
  <c r="G40" i="4"/>
  <c r="E38" i="4"/>
  <c r="N41" i="4"/>
  <c r="O40" i="4"/>
  <c r="P41" i="4"/>
  <c r="L40" i="4"/>
  <c r="D39" i="4"/>
  <c r="H40" i="4"/>
  <c r="J40" i="4"/>
  <c r="F40" i="4"/>
  <c r="Q40" i="4"/>
  <c r="I41" i="4"/>
  <c r="C40" i="4"/>
  <c r="H41" i="4"/>
  <c r="J41" i="4"/>
  <c r="S34" i="3" l="1"/>
  <c r="B41" i="4"/>
  <c r="M41" i="4"/>
  <c r="G41" i="4"/>
  <c r="K41" i="4"/>
  <c r="C41" i="4"/>
  <c r="D40" i="4"/>
  <c r="L41" i="4"/>
  <c r="O41" i="4"/>
  <c r="P42" i="4"/>
  <c r="Q41" i="4"/>
  <c r="I42" i="4"/>
  <c r="E39" i="4"/>
  <c r="N42" i="4"/>
  <c r="F41" i="4"/>
  <c r="L42" i="4"/>
  <c r="H42" i="4"/>
  <c r="S35" i="3" l="1"/>
  <c r="B42" i="4"/>
  <c r="M42" i="4"/>
  <c r="G42" i="4"/>
  <c r="J42" i="4"/>
  <c r="E40" i="4"/>
  <c r="P43" i="4"/>
  <c r="O42" i="4"/>
  <c r="I43" i="4"/>
  <c r="J43" i="4" s="1"/>
  <c r="C42" i="4"/>
  <c r="K42" i="4"/>
  <c r="L43" i="4"/>
  <c r="F42" i="4"/>
  <c r="D41" i="4"/>
  <c r="N43" i="4"/>
  <c r="K43" i="4"/>
  <c r="Q42" i="4"/>
  <c r="H43" i="4"/>
  <c r="S36" i="3" l="1"/>
  <c r="B43" i="4"/>
  <c r="M43" i="4"/>
  <c r="G43" i="4"/>
  <c r="E41" i="4"/>
  <c r="F43" i="4"/>
  <c r="D42" i="4"/>
  <c r="C43" i="4"/>
  <c r="Q43" i="4"/>
  <c r="O43" i="4"/>
  <c r="S37" i="3" l="1"/>
  <c r="D43" i="4"/>
  <c r="E42" i="4"/>
  <c r="E43" i="4"/>
  <c r="S38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B12" authorId="0" shapeId="0" xr:uid="{53424694-834C-46EE-9D12-66ABE8D29599}">
      <text>
        <r>
          <rPr>
            <b/>
            <sz val="9"/>
            <color indexed="81"/>
            <rFont val="Tahoma"/>
            <family val="2"/>
          </rPr>
          <t>Just Output
Not input</t>
        </r>
      </text>
    </comment>
  </commentList>
</comments>
</file>

<file path=xl/sharedStrings.xml><?xml version="1.0" encoding="utf-8"?>
<sst xmlns="http://schemas.openxmlformats.org/spreadsheetml/2006/main" count="229" uniqueCount="175">
  <si>
    <t>GENERAL DATA</t>
  </si>
  <si>
    <t>F</t>
  </si>
  <si>
    <t>Psia</t>
  </si>
  <si>
    <t>---</t>
  </si>
  <si>
    <t>OIL DATA</t>
  </si>
  <si>
    <t>API Gravity</t>
  </si>
  <si>
    <t>API</t>
  </si>
  <si>
    <t>SEPARATOR CONDITION</t>
  </si>
  <si>
    <t>Temperature</t>
  </si>
  <si>
    <t>Pressure</t>
  </si>
  <si>
    <t>BRINE DATA</t>
  </si>
  <si>
    <t>TDS</t>
  </si>
  <si>
    <t>Salinity NaCl</t>
  </si>
  <si>
    <t>%w</t>
  </si>
  <si>
    <t>mole</t>
  </si>
  <si>
    <t xml:space="preserve">Bo = </t>
  </si>
  <si>
    <t xml:space="preserve">Rs = </t>
  </si>
  <si>
    <t xml:space="preserve">Bg = </t>
  </si>
  <si>
    <t xml:space="preserve">Bw = </t>
  </si>
  <si>
    <t xml:space="preserve">Rsw = </t>
  </si>
  <si>
    <t xml:space="preserve">z = </t>
  </si>
  <si>
    <t xml:space="preserve">Oil Density = </t>
  </si>
  <si>
    <t xml:space="preserve">Brine Density = </t>
  </si>
  <si>
    <t xml:space="preserve">Oil Viscosity = </t>
  </si>
  <si>
    <t xml:space="preserve">Gas Viscosity = </t>
  </si>
  <si>
    <t xml:space="preserve">Brine Viscosity = </t>
  </si>
  <si>
    <t xml:space="preserve">Co  = </t>
  </si>
  <si>
    <t xml:space="preserve">Cg  = </t>
  </si>
  <si>
    <t xml:space="preserve">Cw = </t>
  </si>
  <si>
    <t>Tsc</t>
  </si>
  <si>
    <t>Psc</t>
  </si>
  <si>
    <t>GAS DATA</t>
  </si>
  <si>
    <t>P input</t>
  </si>
  <si>
    <t>Type</t>
  </si>
  <si>
    <t>Value</t>
  </si>
  <si>
    <t>Unit</t>
  </si>
  <si>
    <t>Correlation</t>
  </si>
  <si>
    <t>Quantity</t>
  </si>
  <si>
    <t>Glaso</t>
  </si>
  <si>
    <t>Standing</t>
  </si>
  <si>
    <t>Vasquez-Beggs</t>
  </si>
  <si>
    <t>Lasater</t>
  </si>
  <si>
    <t>Petrosky-Farshad</t>
  </si>
  <si>
    <t>Kartoatmodjo and schmidt</t>
  </si>
  <si>
    <t>Marhoun</t>
  </si>
  <si>
    <t>scf/STB</t>
  </si>
  <si>
    <t>Hanafy</t>
  </si>
  <si>
    <t>Velarde et al</t>
  </si>
  <si>
    <t>(psia)</t>
  </si>
  <si>
    <t>P</t>
  </si>
  <si>
    <t>Rs</t>
  </si>
  <si>
    <t>Condition</t>
  </si>
  <si>
    <t>(bbl/STB)</t>
  </si>
  <si>
    <t>Bo</t>
  </si>
  <si>
    <t>(lbm/cf)</t>
  </si>
  <si>
    <t>(cp)</t>
  </si>
  <si>
    <t>(1/psi)</t>
  </si>
  <si>
    <t>Co</t>
  </si>
  <si>
    <t>ρo</t>
  </si>
  <si>
    <t>(bbl/scf)</t>
  </si>
  <si>
    <t>Bg</t>
  </si>
  <si>
    <t>(vol/vol)</t>
  </si>
  <si>
    <t>z</t>
  </si>
  <si>
    <t xml:space="preserve">Cg </t>
  </si>
  <si>
    <t>(sm3/sm3)</t>
  </si>
  <si>
    <t>Bw</t>
  </si>
  <si>
    <t>Rsw</t>
  </si>
  <si>
    <t xml:space="preserve">Cw </t>
  </si>
  <si>
    <t>OIL</t>
  </si>
  <si>
    <t>GAS</t>
  </si>
  <si>
    <t>BRINE</t>
  </si>
  <si>
    <t>ρg</t>
  </si>
  <si>
    <t>μo</t>
  </si>
  <si>
    <t>μg</t>
  </si>
  <si>
    <t>ρw</t>
  </si>
  <si>
    <t>μw</t>
  </si>
  <si>
    <t xml:space="preserve">IFT = </t>
  </si>
  <si>
    <t xml:space="preserve">Oil Conditions = </t>
  </si>
  <si>
    <t>Gas Density =</t>
  </si>
  <si>
    <t xml:space="preserve">Gas Type = </t>
  </si>
  <si>
    <t xml:space="preserve">Tpc = </t>
  </si>
  <si>
    <t xml:space="preserve">Ppc = </t>
  </si>
  <si>
    <t>Correction</t>
  </si>
  <si>
    <t>Rst =</t>
  </si>
  <si>
    <t xml:space="preserve"> Valkó-McCain </t>
  </si>
  <si>
    <t>H2S ( MW=34.08)</t>
  </si>
  <si>
    <t>CO2  ( MW=44.010)</t>
  </si>
  <si>
    <t>N2  ( MW=28.0134)</t>
  </si>
  <si>
    <t xml:space="preserve"> Wichert-Aziz </t>
  </si>
  <si>
    <t xml:space="preserve"> Carr-Kobayashi</t>
  </si>
  <si>
    <t>sutton</t>
  </si>
  <si>
    <t>standing</t>
  </si>
  <si>
    <t>Pb</t>
  </si>
  <si>
    <t>(scf/STB)</t>
  </si>
  <si>
    <t>Piper,Corridor</t>
  </si>
  <si>
    <t>Beggs n Brill</t>
  </si>
  <si>
    <t>Hall-yarborough</t>
  </si>
  <si>
    <t>Papay</t>
  </si>
  <si>
    <t>DAK</t>
  </si>
  <si>
    <t>1. untuk persamaan piper n corridor pada critical properties, hanya akurat pada gas dalam kondisi condensate</t>
  </si>
  <si>
    <t>Vasquezz</t>
  </si>
  <si>
    <t>Petrosky</t>
  </si>
  <si>
    <t>Farshad</t>
  </si>
  <si>
    <t>Almehaideb</t>
  </si>
  <si>
    <t>El-Sharkawy</t>
  </si>
  <si>
    <t>Kartoatmojo</t>
  </si>
  <si>
    <t>ahmed</t>
  </si>
  <si>
    <t>Dindoruk</t>
  </si>
  <si>
    <t>Mc-Cain</t>
  </si>
  <si>
    <t>Farshad n Petrosky</t>
  </si>
  <si>
    <t>Farshad n Leblanc</t>
  </si>
  <si>
    <t>Almedhaideb</t>
  </si>
  <si>
    <t>AlShammasi</t>
  </si>
  <si>
    <t>El sharkawy</t>
  </si>
  <si>
    <t>Awadi Osman</t>
  </si>
  <si>
    <t>bbl/STB</t>
  </si>
  <si>
    <t>Calhoun</t>
  </si>
  <si>
    <t>Labedi</t>
  </si>
  <si>
    <t>De Ghetto</t>
  </si>
  <si>
    <t>Standard</t>
  </si>
  <si>
    <t>material balance</t>
  </si>
  <si>
    <t>Beggs-Robinson</t>
  </si>
  <si>
    <t>Beal</t>
  </si>
  <si>
    <t>Egbogah</t>
  </si>
  <si>
    <t>almehaideb</t>
  </si>
  <si>
    <t>Khan et al</t>
  </si>
  <si>
    <t>lbm/scf</t>
  </si>
  <si>
    <t>Lee-Gonzales</t>
  </si>
  <si>
    <t>Carr-Kobayashi</t>
  </si>
  <si>
    <t>Jossi et al</t>
  </si>
  <si>
    <t>Dean n Steal</t>
  </si>
  <si>
    <t>Lucas</t>
  </si>
  <si>
    <t>Lindono</t>
  </si>
  <si>
    <t>Sutton</t>
  </si>
  <si>
    <t>cp</t>
  </si>
  <si>
    <t>Hall-Yarborough</t>
  </si>
  <si>
    <t>Z_Hall</t>
  </si>
  <si>
    <t>Z_DAK</t>
  </si>
  <si>
    <t>mcCain</t>
  </si>
  <si>
    <t>Meehan</t>
  </si>
  <si>
    <t>Kestin</t>
  </si>
  <si>
    <t>Conditon</t>
  </si>
  <si>
    <t>Gas-Saturated Brine</t>
  </si>
  <si>
    <t>Gas-Free Brine</t>
  </si>
  <si>
    <t>McCain</t>
  </si>
  <si>
    <t>1/psia</t>
  </si>
  <si>
    <t>bbl/Mscf</t>
  </si>
  <si>
    <t>Gas Solubility in Oil</t>
  </si>
  <si>
    <t>Formation Volume Factor oil</t>
  </si>
  <si>
    <t>Oil Density</t>
  </si>
  <si>
    <t>Oil Viscosity</t>
  </si>
  <si>
    <t>Oil Compressibilitty</t>
  </si>
  <si>
    <t>Formation Volume Factor Gas</t>
  </si>
  <si>
    <t>Gas Deviation Factor</t>
  </si>
  <si>
    <t>Gas Density</t>
  </si>
  <si>
    <t>Gas Viscosity</t>
  </si>
  <si>
    <t>Gas Compressibilitty</t>
  </si>
  <si>
    <t>Formation Volume Factor Brine</t>
  </si>
  <si>
    <t>Gas Solubility in Brine</t>
  </si>
  <si>
    <t>Brine Density</t>
  </si>
  <si>
    <t>Brine Viscosity</t>
  </si>
  <si>
    <t>Brine Compressibility</t>
  </si>
  <si>
    <t>GRAPH VISUALIZATION</t>
  </si>
  <si>
    <t>PVT CALCULATOR</t>
  </si>
  <si>
    <t>TABLE</t>
  </si>
  <si>
    <t>2. untuk beberapa properties dari beberapa sumber jika tidak diketahui, maka yang paling akurat dan tepat sebgai gantinya ialah korelasi dari vasquezz beggs dan bbbrp untuk satnding</t>
  </si>
  <si>
    <t>INPUT DATA</t>
  </si>
  <si>
    <t>Option Properties</t>
  </si>
  <si>
    <t xml:space="preserve">Rsb = </t>
  </si>
  <si>
    <t>Rsp =</t>
  </si>
  <si>
    <t>SGg average</t>
  </si>
  <si>
    <t>Pi</t>
  </si>
  <si>
    <t xml:space="preserve"> Tres</t>
  </si>
  <si>
    <t>SGg Stock Tank</t>
  </si>
  <si>
    <t>SGg Separator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</si>
</sst>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name val="Geneva"/>
    </font>
    <font>
      <b/>
      <sz val="12"/>
      <color theme="1"/>
      <name val="Geneva"/>
    </font>
    <font>
      <b/>
      <sz val="11"/>
      <name val="Arial"/>
      <family val="2"/>
    </font>
    <font>
      <b/>
      <sz val="11"/>
      <color theme="1"/>
      <name val="Adobe Fan Heiti Std B"/>
      <family val="2"/>
      <charset val="128"/>
    </font>
    <font>
      <b/>
      <sz val="11"/>
      <color theme="1"/>
      <name val="Arial Black"/>
      <family val="2"/>
    </font>
    <font>
      <sz val="11"/>
      <color theme="1"/>
      <name val="Arial Black"/>
      <family val="2"/>
    </font>
    <font>
      <b/>
      <sz val="12"/>
      <color theme="1"/>
      <name val="Adobe Fan Heiti Std B"/>
      <family val="2"/>
      <charset val="128"/>
    </font>
    <font>
      <b/>
      <sz val="10"/>
      <color theme="1"/>
      <name val="Geneva"/>
    </font>
    <font>
      <b/>
      <sz val="12"/>
      <color theme="1"/>
      <name val="Calibri"/>
      <family val="2"/>
    </font>
    <font>
      <b/>
      <sz val="2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1"/>
      <name val="Geneva"/>
    </font>
    <font>
      <b/>
      <sz val="22"/>
      <color theme="1"/>
      <name val="Calibri"/>
      <family val="2"/>
      <scheme val="minor"/>
    </font>
    <font>
      <b/>
      <sz val="22"/>
      <color rgb="FF000000"/>
      <name val="Calibri"/>
      <family val="2"/>
    </font>
    <font>
      <b/>
      <sz val="14"/>
      <color rgb="FF000000"/>
      <name val="Calibri"/>
      <family val="2"/>
    </font>
    <font>
      <b/>
      <sz val="28"/>
      <color rgb="FF000000"/>
      <name val="Calibri"/>
      <family val="2"/>
    </font>
    <font>
      <b/>
      <sz val="20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73">
    <border>
      <left/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/>
      <top/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/>
      <diagonal/>
    </border>
    <border>
      <left style="thin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theme="1"/>
      </right>
      <top style="medium">
        <color theme="1"/>
      </top>
      <bottom style="medium">
        <color theme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0" fontId="3" fillId="0" borderId="0"/>
  </cellStyleXfs>
  <cellXfs count="16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Fill="1" applyBorder="1" applyAlignment="1">
      <alignment vertical="center"/>
    </xf>
    <xf numFmtId="0" fontId="9" fillId="2" borderId="21" xfId="1" applyFont="1" applyFill="1" applyBorder="1" applyAlignment="1" applyProtection="1">
      <alignment horizontal="center" vertical="center"/>
      <protection hidden="1"/>
    </xf>
    <xf numFmtId="0" fontId="9" fillId="2" borderId="22" xfId="0" applyFont="1" applyFill="1" applyBorder="1" applyAlignment="1">
      <alignment horizontal="center" vertical="center"/>
    </xf>
    <xf numFmtId="0" fontId="6" fillId="2" borderId="23" xfId="0" applyFont="1" applyFill="1" applyBorder="1" applyAlignment="1">
      <alignment horizontal="center" vertical="center"/>
    </xf>
    <xf numFmtId="0" fontId="10" fillId="3" borderId="27" xfId="1" applyFont="1" applyFill="1" applyBorder="1" applyAlignment="1" applyProtection="1">
      <alignment horizontal="center"/>
      <protection hidden="1"/>
    </xf>
    <xf numFmtId="0" fontId="10" fillId="3" borderId="28" xfId="1" applyFont="1" applyFill="1" applyBorder="1" applyAlignment="1" applyProtection="1">
      <alignment horizontal="center"/>
      <protection hidden="1"/>
    </xf>
    <xf numFmtId="0" fontId="1" fillId="3" borderId="29" xfId="0" applyFont="1" applyFill="1" applyBorder="1" applyAlignment="1">
      <alignment horizontal="center" vertical="center"/>
    </xf>
    <xf numFmtId="0" fontId="1" fillId="3" borderId="30" xfId="0" applyFont="1" applyFill="1" applyBorder="1" applyAlignment="1">
      <alignment horizontal="center" vertical="center"/>
    </xf>
    <xf numFmtId="0" fontId="0" fillId="4" borderId="24" xfId="0" applyFill="1" applyBorder="1"/>
    <xf numFmtId="0" fontId="0" fillId="4" borderId="31" xfId="0" applyFill="1" applyBorder="1"/>
    <xf numFmtId="0" fontId="0" fillId="4" borderId="25" xfId="0" applyFill="1" applyBorder="1"/>
    <xf numFmtId="0" fontId="0" fillId="4" borderId="32" xfId="0" applyFill="1" applyBorder="1"/>
    <xf numFmtId="0" fontId="0" fillId="4" borderId="31" xfId="0" applyFill="1" applyBorder="1" applyAlignment="1">
      <alignment horizontal="center" vertical="center"/>
    </xf>
    <xf numFmtId="0" fontId="0" fillId="4" borderId="33" xfId="0" applyFill="1" applyBorder="1"/>
    <xf numFmtId="0" fontId="0" fillId="4" borderId="32" xfId="0" applyFill="1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  <xf numFmtId="0" fontId="0" fillId="4" borderId="26" xfId="0" applyFill="1" applyBorder="1"/>
    <xf numFmtId="0" fontId="10" fillId="3" borderId="34" xfId="1" applyFont="1" applyFill="1" applyBorder="1" applyAlignment="1" applyProtection="1">
      <alignment horizontal="center"/>
      <protection hidden="1"/>
    </xf>
    <xf numFmtId="0" fontId="10" fillId="3" borderId="35" xfId="1" applyFont="1" applyFill="1" applyBorder="1" applyAlignment="1" applyProtection="1">
      <alignment horizontal="center"/>
      <protection hidden="1"/>
    </xf>
    <xf numFmtId="0" fontId="11" fillId="3" borderId="35" xfId="1" applyFont="1" applyFill="1" applyBorder="1" applyAlignment="1" applyProtection="1">
      <alignment horizontal="center"/>
      <protection hidden="1"/>
    </xf>
    <xf numFmtId="0" fontId="10" fillId="3" borderId="36" xfId="1" applyFont="1" applyFill="1" applyBorder="1" applyAlignment="1" applyProtection="1">
      <alignment horizontal="center"/>
      <protection hidden="1"/>
    </xf>
    <xf numFmtId="0" fontId="10" fillId="3" borderId="37" xfId="1" applyFont="1" applyFill="1" applyBorder="1" applyAlignment="1" applyProtection="1">
      <alignment horizontal="center"/>
      <protection hidden="1"/>
    </xf>
    <xf numFmtId="0" fontId="0" fillId="4" borderId="41" xfId="0" applyFill="1" applyBorder="1"/>
    <xf numFmtId="0" fontId="0" fillId="5" borderId="43" xfId="0" applyFill="1" applyBorder="1"/>
    <xf numFmtId="0" fontId="4" fillId="0" borderId="0" xfId="1" applyFont="1" applyFill="1" applyBorder="1" applyAlignment="1" applyProtection="1">
      <alignment horizontal="right" vertical="center"/>
      <protection hidden="1"/>
    </xf>
    <xf numFmtId="0" fontId="5" fillId="0" borderId="0" xfId="0" applyFont="1" applyFill="1" applyBorder="1" applyAlignment="1" applyProtection="1">
      <alignment horizontal="right"/>
      <protection hidden="1"/>
    </xf>
    <xf numFmtId="0" fontId="5" fillId="5" borderId="9" xfId="0" applyFont="1" applyFill="1" applyBorder="1" applyAlignment="1" applyProtection="1">
      <alignment horizontal="right" vertical="center"/>
      <protection hidden="1"/>
    </xf>
    <xf numFmtId="0" fontId="5" fillId="4" borderId="9" xfId="0" applyFont="1" applyFill="1" applyBorder="1" applyAlignment="1" applyProtection="1">
      <alignment horizontal="right" vertical="center"/>
      <protection hidden="1"/>
    </xf>
    <xf numFmtId="0" fontId="5" fillId="5" borderId="12" xfId="0" applyFont="1" applyFill="1" applyBorder="1" applyAlignment="1" applyProtection="1">
      <alignment horizontal="right" vertical="center"/>
      <protection hidden="1"/>
    </xf>
    <xf numFmtId="0" fontId="1" fillId="5" borderId="19" xfId="0" applyFont="1" applyFill="1" applyBorder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0" fontId="1" fillId="5" borderId="10" xfId="0" quotePrefix="1" applyFont="1" applyFill="1" applyBorder="1" applyAlignment="1">
      <alignment horizontal="center" vertical="center"/>
    </xf>
    <xf numFmtId="0" fontId="1" fillId="5" borderId="46" xfId="0" applyFont="1" applyFill="1" applyBorder="1" applyAlignment="1">
      <alignment horizontal="center" vertical="center"/>
    </xf>
    <xf numFmtId="0" fontId="0" fillId="0" borderId="0" xfId="0" applyFont="1" applyFill="1"/>
    <xf numFmtId="0" fontId="16" fillId="5" borderId="18" xfId="1" applyFont="1" applyFill="1" applyBorder="1" applyAlignment="1" applyProtection="1">
      <alignment horizontal="right" vertical="center"/>
      <protection hidden="1"/>
    </xf>
    <xf numFmtId="0" fontId="16" fillId="5" borderId="9" xfId="1" applyFont="1" applyFill="1" applyBorder="1" applyAlignment="1" applyProtection="1">
      <alignment horizontal="right" vertical="center"/>
      <protection hidden="1"/>
    </xf>
    <xf numFmtId="0" fontId="0" fillId="5" borderId="42" xfId="0" quotePrefix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6" borderId="10" xfId="0" applyFont="1" applyFill="1" applyBorder="1" applyAlignment="1">
      <alignment horizontal="center"/>
    </xf>
    <xf numFmtId="0" fontId="1" fillId="6" borderId="11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 wrapText="1"/>
    </xf>
    <xf numFmtId="0" fontId="1" fillId="6" borderId="10" xfId="0" applyFont="1" applyFill="1" applyBorder="1" applyAlignment="1">
      <alignment horizontal="center" vertical="center"/>
    </xf>
    <xf numFmtId="0" fontId="1" fillId="6" borderId="11" xfId="0" quotePrefix="1" applyFont="1" applyFill="1" applyBorder="1" applyAlignment="1">
      <alignment horizontal="center" vertical="center"/>
    </xf>
    <xf numFmtId="0" fontId="0" fillId="6" borderId="16" xfId="0" applyFill="1" applyBorder="1"/>
    <xf numFmtId="0" fontId="0" fillId="6" borderId="0" xfId="0" applyFill="1" applyBorder="1"/>
    <xf numFmtId="0" fontId="0" fillId="6" borderId="1" xfId="0" applyFill="1" applyBorder="1"/>
    <xf numFmtId="0" fontId="0" fillId="6" borderId="2" xfId="0" applyFill="1" applyBorder="1"/>
    <xf numFmtId="0" fontId="1" fillId="6" borderId="18" xfId="0" applyFont="1" applyFill="1" applyBorder="1" applyAlignment="1">
      <alignment horizontal="center" vertical="center"/>
    </xf>
    <xf numFmtId="0" fontId="1" fillId="6" borderId="19" xfId="0" applyFont="1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51" xfId="0" applyFill="1" applyBorder="1" applyAlignment="1">
      <alignment horizontal="center" vertical="center"/>
    </xf>
    <xf numFmtId="0" fontId="0" fillId="6" borderId="17" xfId="0" applyFill="1" applyBorder="1"/>
    <xf numFmtId="0" fontId="1" fillId="6" borderId="20" xfId="0" applyFont="1" applyFill="1" applyBorder="1" applyAlignment="1">
      <alignment horizontal="center" vertical="center"/>
    </xf>
    <xf numFmtId="0" fontId="1" fillId="6" borderId="45" xfId="0" applyFont="1" applyFill="1" applyBorder="1" applyAlignment="1">
      <alignment horizontal="center" vertical="center"/>
    </xf>
    <xf numFmtId="0" fontId="1" fillId="6" borderId="46" xfId="0" applyFont="1" applyFill="1" applyBorder="1" applyAlignment="1">
      <alignment horizontal="center" vertical="center"/>
    </xf>
    <xf numFmtId="0" fontId="1" fillId="6" borderId="44" xfId="0" applyFont="1" applyFill="1" applyBorder="1" applyAlignment="1">
      <alignment horizontal="center" vertical="center"/>
    </xf>
    <xf numFmtId="0" fontId="0" fillId="6" borderId="48" xfId="0" applyFill="1" applyBorder="1"/>
    <xf numFmtId="0" fontId="0" fillId="6" borderId="49" xfId="0" applyFill="1" applyBorder="1"/>
    <xf numFmtId="0" fontId="0" fillId="6" borderId="50" xfId="0" applyFill="1" applyBorder="1"/>
    <xf numFmtId="0" fontId="1" fillId="6" borderId="12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1" fillId="6" borderId="14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0" fillId="0" borderId="1" xfId="0" applyBorder="1"/>
    <xf numFmtId="0" fontId="0" fillId="0" borderId="2" xfId="0" applyBorder="1"/>
    <xf numFmtId="0" fontId="0" fillId="0" borderId="55" xfId="0" applyBorder="1"/>
    <xf numFmtId="0" fontId="0" fillId="4" borderId="56" xfId="0" applyFill="1" applyBorder="1"/>
    <xf numFmtId="0" fontId="0" fillId="4" borderId="57" xfId="0" applyFill="1" applyBorder="1"/>
    <xf numFmtId="0" fontId="14" fillId="0" borderId="54" xfId="0" applyFont="1" applyBorder="1" applyAlignment="1">
      <alignment vertical="center"/>
    </xf>
    <xf numFmtId="0" fontId="14" fillId="0" borderId="55" xfId="0" applyFont="1" applyBorder="1" applyAlignment="1">
      <alignment vertical="center"/>
    </xf>
    <xf numFmtId="0" fontId="1" fillId="9" borderId="0" xfId="0" applyFont="1" applyFill="1" applyBorder="1"/>
    <xf numFmtId="0" fontId="1" fillId="0" borderId="0" xfId="0" applyFont="1"/>
    <xf numFmtId="0" fontId="1" fillId="9" borderId="0" xfId="0" applyFont="1" applyFill="1"/>
    <xf numFmtId="0" fontId="10" fillId="0" borderId="66" xfId="1" applyFont="1" applyFill="1" applyBorder="1" applyAlignment="1" applyProtection="1">
      <alignment horizontal="center"/>
      <protection hidden="1"/>
    </xf>
    <xf numFmtId="0" fontId="2" fillId="0" borderId="54" xfId="0" applyFont="1" applyFill="1" applyBorder="1" applyAlignment="1">
      <alignment vertical="center"/>
    </xf>
    <xf numFmtId="0" fontId="2" fillId="0" borderId="55" xfId="0" applyFont="1" applyFill="1" applyBorder="1" applyAlignment="1">
      <alignment vertical="center"/>
    </xf>
    <xf numFmtId="0" fontId="0" fillId="0" borderId="0" xfId="0" applyBorder="1" applyAlignment="1"/>
    <xf numFmtId="0" fontId="1" fillId="6" borderId="9" xfId="0" applyFont="1" applyFill="1" applyBorder="1" applyAlignment="1">
      <alignment horizontal="center" wrapText="1"/>
    </xf>
    <xf numFmtId="0" fontId="0" fillId="6" borderId="11" xfId="0" quotePrefix="1" applyFill="1" applyBorder="1" applyAlignment="1">
      <alignment horizontal="center" vertical="center"/>
    </xf>
    <xf numFmtId="0" fontId="0" fillId="0" borderId="0" xfId="0" applyProtection="1"/>
    <xf numFmtId="0" fontId="5" fillId="5" borderId="18" xfId="0" applyFont="1" applyFill="1" applyBorder="1" applyAlignment="1" applyProtection="1">
      <alignment horizontal="right" vertical="center"/>
      <protection hidden="1"/>
    </xf>
    <xf numFmtId="0" fontId="0" fillId="5" borderId="42" xfId="0" applyFill="1" applyBorder="1"/>
    <xf numFmtId="0" fontId="5" fillId="4" borderId="18" xfId="0" applyFont="1" applyFill="1" applyBorder="1" applyAlignment="1" applyProtection="1">
      <alignment horizontal="right" vertical="center"/>
      <protection hidden="1"/>
    </xf>
    <xf numFmtId="0" fontId="1" fillId="5" borderId="13" xfId="0" applyFont="1" applyFill="1" applyBorder="1" applyAlignment="1">
      <alignment horizontal="center" vertical="center"/>
    </xf>
    <xf numFmtId="0" fontId="0" fillId="5" borderId="14" xfId="0" applyFill="1" applyBorder="1"/>
    <xf numFmtId="0" fontId="17" fillId="4" borderId="52" xfId="0" applyFont="1" applyFill="1" applyBorder="1" applyAlignment="1">
      <alignment horizontal="center" vertical="center"/>
    </xf>
    <xf numFmtId="0" fontId="2" fillId="4" borderId="53" xfId="0" applyFont="1" applyFill="1" applyBorder="1" applyAlignment="1">
      <alignment horizontal="center" vertical="center"/>
    </xf>
    <xf numFmtId="0" fontId="2" fillId="4" borderId="54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55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1" fillId="6" borderId="71" xfId="0" applyFont="1" applyFill="1" applyBorder="1" applyAlignment="1">
      <alignment horizontal="center" vertical="center"/>
    </xf>
    <xf numFmtId="0" fontId="1" fillId="6" borderId="67" xfId="0" applyFont="1" applyFill="1" applyBorder="1" applyAlignment="1">
      <alignment horizontal="center" vertical="center"/>
    </xf>
    <xf numFmtId="0" fontId="14" fillId="4" borderId="52" xfId="0" applyFont="1" applyFill="1" applyBorder="1" applyAlignment="1">
      <alignment horizontal="center" vertical="center"/>
    </xf>
    <xf numFmtId="0" fontId="14" fillId="4" borderId="53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4" borderId="68" xfId="0" applyFont="1" applyFill="1" applyBorder="1" applyAlignment="1">
      <alignment horizontal="center" vertical="center"/>
    </xf>
    <xf numFmtId="0" fontId="0" fillId="4" borderId="69" xfId="0" applyFill="1" applyBorder="1" applyAlignment="1">
      <alignment horizontal="center" vertical="center"/>
    </xf>
    <xf numFmtId="0" fontId="0" fillId="4" borderId="70" xfId="0" applyFill="1" applyBorder="1" applyAlignment="1">
      <alignment horizontal="center" vertical="center"/>
    </xf>
    <xf numFmtId="0" fontId="0" fillId="5" borderId="4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1" fillId="5" borderId="43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3" fillId="4" borderId="68" xfId="0" applyFont="1" applyFill="1" applyBorder="1" applyAlignment="1">
      <alignment horizontal="center" vertical="center"/>
    </xf>
    <xf numFmtId="0" fontId="13" fillId="4" borderId="69" xfId="0" applyFont="1" applyFill="1" applyBorder="1" applyAlignment="1">
      <alignment horizontal="center" vertical="center"/>
    </xf>
    <xf numFmtId="0" fontId="13" fillId="4" borderId="70" xfId="0" applyFont="1" applyFill="1" applyBorder="1" applyAlignment="1">
      <alignment horizontal="center" vertical="center"/>
    </xf>
    <xf numFmtId="0" fontId="12" fillId="4" borderId="68" xfId="0" applyFont="1" applyFill="1" applyBorder="1" applyAlignment="1">
      <alignment horizontal="center" vertical="center" wrapText="1"/>
    </xf>
    <xf numFmtId="0" fontId="12" fillId="4" borderId="69" xfId="0" applyFont="1" applyFill="1" applyBorder="1" applyAlignment="1">
      <alignment horizontal="center" vertical="center" wrapText="1"/>
    </xf>
    <xf numFmtId="0" fontId="12" fillId="4" borderId="70" xfId="0" applyFont="1" applyFill="1" applyBorder="1" applyAlignment="1">
      <alignment horizontal="center" vertical="center" wrapText="1"/>
    </xf>
    <xf numFmtId="0" fontId="1" fillId="5" borderId="72" xfId="0" applyFont="1" applyFill="1" applyBorder="1" applyAlignment="1">
      <alignment horizontal="center" vertical="center"/>
    </xf>
    <xf numFmtId="0" fontId="1" fillId="5" borderId="49" xfId="0" applyFont="1" applyFill="1" applyBorder="1" applyAlignment="1">
      <alignment horizontal="center" vertical="center"/>
    </xf>
    <xf numFmtId="0" fontId="1" fillId="5" borderId="50" xfId="0" applyFont="1" applyFill="1" applyBorder="1" applyAlignment="1">
      <alignment horizontal="center" vertical="center"/>
    </xf>
    <xf numFmtId="0" fontId="1" fillId="3" borderId="29" xfId="0" applyFont="1" applyFill="1" applyBorder="1" applyAlignment="1">
      <alignment horizontal="center" vertical="center"/>
    </xf>
    <xf numFmtId="0" fontId="1" fillId="3" borderId="30" xfId="0" applyFont="1" applyFill="1" applyBorder="1" applyAlignment="1">
      <alignment horizontal="center" vertical="center"/>
    </xf>
    <xf numFmtId="0" fontId="1" fillId="3" borderId="38" xfId="0" applyFont="1" applyFill="1" applyBorder="1" applyAlignment="1">
      <alignment horizontal="center" vertical="center"/>
    </xf>
    <xf numFmtId="0" fontId="1" fillId="3" borderId="39" xfId="0" applyFont="1" applyFill="1" applyBorder="1" applyAlignment="1">
      <alignment horizontal="center" vertical="center"/>
    </xf>
    <xf numFmtId="0" fontId="1" fillId="3" borderId="40" xfId="0" applyFont="1" applyFill="1" applyBorder="1" applyAlignment="1">
      <alignment horizontal="center" vertical="center"/>
    </xf>
    <xf numFmtId="0" fontId="1" fillId="3" borderId="38" xfId="0" applyFont="1" applyFill="1" applyBorder="1" applyAlignment="1">
      <alignment horizontal="center"/>
    </xf>
    <xf numFmtId="0" fontId="1" fillId="3" borderId="39" xfId="0" applyFont="1" applyFill="1" applyBorder="1" applyAlignment="1">
      <alignment horizontal="center"/>
    </xf>
    <xf numFmtId="0" fontId="1" fillId="3" borderId="40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0" fontId="13" fillId="8" borderId="59" xfId="0" applyFont="1" applyFill="1" applyBorder="1" applyAlignment="1">
      <alignment horizontal="center" vertical="center"/>
    </xf>
    <xf numFmtId="0" fontId="13" fillId="8" borderId="60" xfId="0" applyFont="1" applyFill="1" applyBorder="1" applyAlignment="1">
      <alignment horizontal="center" vertical="center"/>
    </xf>
    <xf numFmtId="0" fontId="13" fillId="8" borderId="61" xfId="0" applyFont="1" applyFill="1" applyBorder="1" applyAlignment="1">
      <alignment horizontal="center" vertical="center"/>
    </xf>
    <xf numFmtId="0" fontId="13" fillId="8" borderId="62" xfId="0" applyFont="1" applyFill="1" applyBorder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3" fillId="8" borderId="63" xfId="0" applyFont="1" applyFill="1" applyBorder="1" applyAlignment="1">
      <alignment horizontal="center" vertical="center"/>
    </xf>
    <xf numFmtId="0" fontId="13" fillId="8" borderId="64" xfId="0" applyFont="1" applyFill="1" applyBorder="1" applyAlignment="1">
      <alignment horizontal="center" vertical="center"/>
    </xf>
    <xf numFmtId="0" fontId="13" fillId="8" borderId="58" xfId="0" applyFont="1" applyFill="1" applyBorder="1" applyAlignment="1">
      <alignment horizontal="center" vertical="center"/>
    </xf>
    <xf numFmtId="0" fontId="13" fillId="8" borderId="65" xfId="0" applyFont="1" applyFill="1" applyBorder="1" applyAlignment="1">
      <alignment horizontal="center" vertical="center"/>
    </xf>
    <xf numFmtId="0" fontId="0" fillId="0" borderId="52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5" xfId="0" applyBorder="1" applyAlignment="1">
      <alignment horizontal="center"/>
    </xf>
    <xf numFmtId="0" fontId="21" fillId="5" borderId="53" xfId="0" applyFont="1" applyFill="1" applyBorder="1" applyAlignment="1">
      <alignment horizontal="center" vertical="center"/>
    </xf>
    <xf numFmtId="0" fontId="21" fillId="5" borderId="54" xfId="0" applyFont="1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/>
    </xf>
    <xf numFmtId="0" fontId="21" fillId="5" borderId="55" xfId="0" applyFont="1" applyFill="1" applyBorder="1" applyAlignment="1">
      <alignment horizontal="center" vertical="center"/>
    </xf>
    <xf numFmtId="0" fontId="2" fillId="5" borderId="52" xfId="0" applyFont="1" applyFill="1" applyBorder="1" applyAlignment="1">
      <alignment horizontal="center" vertical="center"/>
    </xf>
    <xf numFmtId="0" fontId="2" fillId="5" borderId="54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55" xfId="0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left"/>
    </xf>
    <xf numFmtId="10" fontId="1" fillId="6" borderId="10" xfId="0" applyNumberFormat="1" applyFont="1" applyFill="1" applyBorder="1" applyAlignment="1">
      <alignment horizontal="center" vertical="center"/>
    </xf>
  </cellXfs>
  <cellStyles count="2">
    <cellStyle name="Normal" xfId="0" builtinId="0"/>
    <cellStyle name="Normal_PVT Table" xfId="1" xr:uid="{18B38B7B-BC7B-4E89-8C24-CEC23DA0F9C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CORET!$S$1</c:f>
              <c:strCache>
                <c:ptCount val="1"/>
                <c:pt idx="0">
                  <c:v>Formation Volume Factor oil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CORET!$Q$2:$Q$38</c:f>
              <c:numCache>
                <c:formatCode>General</c:formatCode>
                <c:ptCount val="37"/>
                <c:pt idx="0">
                  <c:v>5000</c:v>
                </c:pt>
                <c:pt idx="1">
                  <c:v>4861.5194444444442</c:v>
                </c:pt>
                <c:pt idx="2">
                  <c:v>4723.0388888888883</c:v>
                </c:pt>
                <c:pt idx="3">
                  <c:v>4584.5583333333325</c:v>
                </c:pt>
                <c:pt idx="4">
                  <c:v>4446.0777777777766</c:v>
                </c:pt>
                <c:pt idx="5">
                  <c:v>4307.5972222222208</c:v>
                </c:pt>
                <c:pt idx="6">
                  <c:v>4169.116666666665</c:v>
                </c:pt>
                <c:pt idx="7">
                  <c:v>4030.6361111111096</c:v>
                </c:pt>
                <c:pt idx="8">
                  <c:v>3892.1555555555542</c:v>
                </c:pt>
                <c:pt idx="9">
                  <c:v>3753.6749999999988</c:v>
                </c:pt>
                <c:pt idx="10">
                  <c:v>3615.1944444444434</c:v>
                </c:pt>
                <c:pt idx="11">
                  <c:v>3476.7138888888881</c:v>
                </c:pt>
                <c:pt idx="12">
                  <c:v>3338.2333333333327</c:v>
                </c:pt>
                <c:pt idx="13">
                  <c:v>3199.7527777777773</c:v>
                </c:pt>
                <c:pt idx="14">
                  <c:v>3061.2722222222219</c:v>
                </c:pt>
                <c:pt idx="15">
                  <c:v>2922.7916666666665</c:v>
                </c:pt>
                <c:pt idx="16">
                  <c:v>2784.3111111111111</c:v>
                </c:pt>
                <c:pt idx="17">
                  <c:v>2645.8305555555557</c:v>
                </c:pt>
                <c:pt idx="18">
                  <c:v>2507.3500000000004</c:v>
                </c:pt>
                <c:pt idx="19">
                  <c:v>2368.869444444445</c:v>
                </c:pt>
                <c:pt idx="20">
                  <c:v>2230.3888888888896</c:v>
                </c:pt>
                <c:pt idx="21">
                  <c:v>2091.9083333333342</c:v>
                </c:pt>
                <c:pt idx="22">
                  <c:v>1953.4277777777786</c:v>
                </c:pt>
                <c:pt idx="23">
                  <c:v>1814.947222222223</c:v>
                </c:pt>
                <c:pt idx="24">
                  <c:v>1676.4666666666674</c:v>
                </c:pt>
                <c:pt idx="25">
                  <c:v>1537.9861111111118</c:v>
                </c:pt>
                <c:pt idx="26">
                  <c:v>1399.5055555555562</c:v>
                </c:pt>
                <c:pt idx="27">
                  <c:v>1261.0250000000005</c:v>
                </c:pt>
                <c:pt idx="28">
                  <c:v>1122.5444444444449</c:v>
                </c:pt>
                <c:pt idx="29">
                  <c:v>984.06388888888932</c:v>
                </c:pt>
                <c:pt idx="30">
                  <c:v>845.58333333333371</c:v>
                </c:pt>
                <c:pt idx="31">
                  <c:v>707.1027777777781</c:v>
                </c:pt>
                <c:pt idx="32">
                  <c:v>568.62222222222249</c:v>
                </c:pt>
                <c:pt idx="33">
                  <c:v>430.14166666666694</c:v>
                </c:pt>
                <c:pt idx="34">
                  <c:v>291.66111111111138</c:v>
                </c:pt>
                <c:pt idx="35">
                  <c:v>153.18055555555583</c:v>
                </c:pt>
                <c:pt idx="36">
                  <c:v>14.700000000000273</c:v>
                </c:pt>
              </c:numCache>
            </c:numRef>
          </c:xVal>
          <c:yVal>
            <c:numRef>
              <c:f>CORET!$S$2:$S$38</c:f>
              <c:numCache>
                <c:formatCode>General</c:formatCode>
                <c:ptCount val="37"/>
                <c:pt idx="0">
                  <c:v>1.0147505382038522</c:v>
                </c:pt>
                <c:pt idx="1">
                  <c:v>1.0149274746831292</c:v>
                </c:pt>
                <c:pt idx="2">
                  <c:v>1.0152224373766747</c:v>
                </c:pt>
                <c:pt idx="3">
                  <c:v>1.0158126199587509</c:v>
                </c:pt>
                <c:pt idx="4">
                  <c:v>1.0164031456335993</c:v>
                </c:pt>
                <c:pt idx="5">
                  <c:v>1.0175852270595325</c:v>
                </c:pt>
                <c:pt idx="6">
                  <c:v>1.0184726902317711</c:v>
                </c:pt>
                <c:pt idx="7">
                  <c:v>1.0199535158082897</c:v>
                </c:pt>
                <c:pt idx="8">
                  <c:v>1.0229216293059242</c:v>
                </c:pt>
                <c:pt idx="9">
                  <c:v>1.0211397263306909</c:v>
                </c:pt>
                <c:pt idx="10">
                  <c:v>1.041811211767691</c:v>
                </c:pt>
                <c:pt idx="11">
                  <c:v>1.040181732</c:v>
                </c:pt>
                <c:pt idx="12">
                  <c:v>1.0208658630524123</c:v>
                </c:pt>
                <c:pt idx="13">
                  <c:v>1.0233536679956772</c:v>
                </c:pt>
                <c:pt idx="14">
                  <c:v>1.0286968953811964</c:v>
                </c:pt>
                <c:pt idx="15">
                  <c:v>1.0416435517759142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2E-4DFE-B0AB-B6AAB40EA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827552"/>
        <c:axId val="546385696"/>
      </c:scatterChart>
      <c:valAx>
        <c:axId val="422827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/>
                  <a:t>Pressure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385696"/>
        <c:crosses val="autoZero"/>
        <c:crossBetween val="midCat"/>
      </c:valAx>
      <c:valAx>
        <c:axId val="54638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27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Drop" dropStyle="combo" dx="22" fmlaLink="CORET!$E$18" fmlaRange="CORET!$E$19:$E$20" noThreeD="1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22" fmlaLink="CORET!$A$1" fmlaRange="CORET!$A$2:$A$11" noThreeD="1" sel="3" val="2"/>
</file>

<file path=xl/ctrlProps/ctrlProp5.xml><?xml version="1.0" encoding="utf-8"?>
<formControlPr xmlns="http://schemas.microsoft.com/office/spreadsheetml/2009/9/main" objectType="Drop" dropStyle="combo" dx="22" fmlaLink="CORET!$G$1" fmlaRange="CORET!$G$2:$G$13" noThreeD="1" sel="6" val="0"/>
</file>

<file path=xl/ctrlProps/ctrlProp6.xml><?xml version="1.0" encoding="utf-8"?>
<formControlPr xmlns="http://schemas.microsoft.com/office/spreadsheetml/2009/9/main" objectType="Drop" dropStyle="combo" dx="22" fmlaLink="CORET!$H$1" fmlaRange="CORET!$H$2:$H$5" noThreeD="1" sel="3" val="0"/>
</file>

<file path=xl/ctrlProps/ctrlProp7.xml><?xml version="1.0" encoding="utf-8"?>
<formControlPr xmlns="http://schemas.microsoft.com/office/spreadsheetml/2009/9/main" objectType="Drop" dropStyle="combo" dx="22" fmlaLink="CORET!$I$1" fmlaRange="CORET!$I$2:$I$9" noThreeD="1" sel="7" val="0"/>
</file>

<file path=xl/ctrlProps/ctrlProp8.xml><?xml version="1.0" encoding="utf-8"?>
<formControlPr xmlns="http://schemas.microsoft.com/office/spreadsheetml/2009/9/main" objectType="Drop" dropStyle="combo" dx="22" fmlaLink="CORET!$B$1" fmlaRange="CORET!$B$2" noThreeD="1" sel="1" val="0"/>
</file>

<file path=xl/ctrlProps/ctrlProp9.xml><?xml version="1.0" encoding="utf-8"?>
<formControlPr xmlns="http://schemas.microsoft.com/office/spreadsheetml/2009/9/main" objectType="Drop" dropStyle="combo" dx="22" fmlaLink="CORET!$F$1" fmlaRange="CORET!$F$2:$F$14" noThreeD="1" sel="1" val="0"/>
</file>

<file path=xl/ctrlProps/ctrlProp10.xml><?xml version="1.0" encoding="utf-8"?>
<formControlPr xmlns="http://schemas.microsoft.com/office/spreadsheetml/2009/9/main" objectType="Drop" dropStyle="combo" dx="22" fmlaLink="CORET!$D$1" fmlaRange="CORET!$D$2:$D$4" noThreeD="1" sel="2" val="0"/>
</file>

<file path=xl/ctrlProps/ctrlProp11.xml><?xml version="1.0" encoding="utf-8"?>
<formControlPr xmlns="http://schemas.microsoft.com/office/spreadsheetml/2009/9/main" objectType="Drop" dropStyle="combo" dx="22" fmlaLink="CORET!$D$1" fmlaRange="CORET!$D$2:$D$4" noThreeD="1" sel="2" val="0"/>
</file>

<file path=xl/ctrlProps/ctrlProp12.xml><?xml version="1.0" encoding="utf-8"?>
<formControlPr xmlns="http://schemas.microsoft.com/office/spreadsheetml/2009/9/main" objectType="Drop" dropStyle="combo" dx="22" noThreeD="1" sel="0" val="0"/>
</file>

<file path=xl/ctrlProps/ctrlProp13.xml><?xml version="1.0" encoding="utf-8"?>
<formControlPr xmlns="http://schemas.microsoft.com/office/spreadsheetml/2009/9/main" objectType="Drop" dropStyle="combo" dx="22" noThreeD="1" sel="0" val="0"/>
</file>

<file path=xl/ctrlProps/ctrlProp14.xml><?xml version="1.0" encoding="utf-8"?>
<formControlPr xmlns="http://schemas.microsoft.com/office/spreadsheetml/2009/9/main" objectType="Drop" dropStyle="combo" dx="22" fmlaLink="CORET!$E$1" fmlaRange="CORET!$E$2:$E$5" noThreeD="1" sel="1" val="0"/>
</file>

<file path=xl/ctrlProps/ctrlProp15.xml><?xml version="1.0" encoding="utf-8"?>
<formControlPr xmlns="http://schemas.microsoft.com/office/spreadsheetml/2009/9/main" objectType="Drop" dropStyle="combo" dx="22" fmlaLink="CORET!$J$1" fmlaRange="CORET!$J$2:$J$8" noThreeD="1" sel="2" val="0"/>
</file>

<file path=xl/ctrlProps/ctrlProp16.xml><?xml version="1.0" encoding="utf-8"?>
<formControlPr xmlns="http://schemas.microsoft.com/office/spreadsheetml/2009/9/main" objectType="Drop" dropStyle="combo" dx="22" fmlaLink="CORET!$K$1" fmlaRange="CORET!$K$2:$K$3" noThreeD="1" sel="2" val="0"/>
</file>

<file path=xl/ctrlProps/ctrlProp17.xml><?xml version="1.0" encoding="utf-8"?>
<formControlPr xmlns="http://schemas.microsoft.com/office/spreadsheetml/2009/9/main" objectType="Drop" dropStyle="combo" dx="22" noThreeD="1" sel="0" val="0"/>
</file>

<file path=xl/ctrlProps/ctrlProp18.xml><?xml version="1.0" encoding="utf-8"?>
<formControlPr xmlns="http://schemas.microsoft.com/office/spreadsheetml/2009/9/main" objectType="Drop" dropStyle="combo" dx="22" fmlaLink="CORET!$M$1" fmlaRange="CORET!$M$2:$M$3" noThreeD="1" sel="2" val="0"/>
</file>

<file path=xl/ctrlProps/ctrlProp19.xml><?xml version="1.0" encoding="utf-8"?>
<formControlPr xmlns="http://schemas.microsoft.com/office/spreadsheetml/2009/9/main" objectType="Drop" dropStyle="combo" dx="22" noThreeD="1" sel="0" val="0"/>
</file>

<file path=xl/ctrlProps/ctrlProp20.xml><?xml version="1.0" encoding="utf-8"?>
<formControlPr xmlns="http://schemas.microsoft.com/office/spreadsheetml/2009/9/main" objectType="Drop" dropStyle="combo" dx="22" fmlaLink="CORET!$L$1" fmlaRange="CORET!$L$2:$L$4" noThreeD="1" sel="3" val="0"/>
</file>

<file path=xl/ctrlProps/ctrlProp21.xml><?xml version="1.0" encoding="utf-8"?>
<formControlPr xmlns="http://schemas.microsoft.com/office/spreadsheetml/2009/9/main" objectType="Drop" dropStyle="combo" dx="22" fmlaLink="CORET!$N$1" fmlaRange="CORET!$N$2:$N$3" noThreeD="1" sel="1" val="0"/>
</file>

<file path=xl/ctrlProps/ctrlProp22.xml><?xml version="1.0" encoding="utf-8"?>
<formControlPr xmlns="http://schemas.microsoft.com/office/spreadsheetml/2009/9/main" objectType="Radio" checked="Checked" firstButton="1" fmlaLink="CORET!$C$1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Drop" dropStyle="combo" dx="22" fmlaLink="CORET!$A$1" fmlaRange="CORET!$A$2:$A$10" noThreeD="1" sel="3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List" dx="22" fmlaLink="CORET!$R$1" fmlaRange="CORET!$R$2:$R$16" noThreeD="1" sel="2" val="0"/>
</file>

<file path=xl/ctrlProps/ctrlProp28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1238250</xdr:colOff>
          <xdr:row>7</xdr:row>
          <xdr:rowOff>209550</xdr:rowOff>
        </xdr:from>
        <xdr:to>
          <xdr:col>5</xdr:col>
          <xdr:colOff>990600</xdr:colOff>
          <xdr:row>8</xdr:row>
          <xdr:rowOff>180975</xdr:rowOff>
        </xdr:to>
        <xdr:sp macro="" textlink="">
          <xdr:nvSpPr>
            <xdr:cNvPr id="4098" name="Drop Dow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28575</xdr:rowOff>
        </xdr:from>
        <xdr:to>
          <xdr:col>5</xdr:col>
          <xdr:colOff>990600</xdr:colOff>
          <xdr:row>4</xdr:row>
          <xdr:rowOff>257175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19</xdr:row>
          <xdr:rowOff>19050</xdr:rowOff>
        </xdr:from>
        <xdr:to>
          <xdr:col>5</xdr:col>
          <xdr:colOff>1000125</xdr:colOff>
          <xdr:row>19</xdr:row>
          <xdr:rowOff>190500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9</xdr:row>
          <xdr:rowOff>257175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9525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2059" name="Drop Dow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2061" name="Drop Dow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2062" name="Drop Dow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2063" name="Drop Dow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2065" name="Drop Dow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2066" name="Drop Dow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2067" name="Drop Dow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2068" name="Drop Dow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2069" name="Drop Dow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704850</xdr:colOff>
          <xdr:row>28</xdr:row>
          <xdr:rowOff>19050</xdr:rowOff>
        </xdr:from>
        <xdr:to>
          <xdr:col>3</xdr:col>
          <xdr:colOff>1209675</xdr:colOff>
          <xdr:row>28</xdr:row>
          <xdr:rowOff>238125</xdr:rowOff>
        </xdr:to>
        <xdr:sp macro="" textlink="">
          <xdr:nvSpPr>
            <xdr:cNvPr id="2070" name="Drop Dow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17</xdr:row>
          <xdr:rowOff>19050</xdr:rowOff>
        </xdr:from>
        <xdr:to>
          <xdr:col>2</xdr:col>
          <xdr:colOff>114300</xdr:colOff>
          <xdr:row>17</xdr:row>
          <xdr:rowOff>238125</xdr:rowOff>
        </xdr:to>
        <xdr:sp macro="" textlink="">
          <xdr:nvSpPr>
            <xdr:cNvPr id="2071" name="Option 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Wichert-Aziz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17</xdr:row>
          <xdr:rowOff>28575</xdr:rowOff>
        </xdr:from>
        <xdr:to>
          <xdr:col>3</xdr:col>
          <xdr:colOff>923925</xdr:colOff>
          <xdr:row>17</xdr:row>
          <xdr:rowOff>219075</xdr:rowOff>
        </xdr:to>
        <xdr:sp macro="" textlink="">
          <xdr:nvSpPr>
            <xdr:cNvPr id="2072" name="Option Button 24" descr="Carr-Kobayashi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Carr-Kobayashi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9525</xdr:rowOff>
        </xdr:from>
        <xdr:to>
          <xdr:col>4</xdr:col>
          <xdr:colOff>600075</xdr:colOff>
          <xdr:row>1</xdr:row>
          <xdr:rowOff>180975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3</xdr:col>
          <xdr:colOff>1209675</xdr:colOff>
          <xdr:row>3</xdr:row>
          <xdr:rowOff>247650</xdr:rowOff>
        </xdr:to>
        <xdr:sp macro="" textlink="">
          <xdr:nvSpPr>
            <xdr:cNvPr id="2075" name="Drop Dow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571500</xdr:colOff>
      <xdr:row>8</xdr:row>
      <xdr:rowOff>166687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524750" y="17097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857250</xdr:colOff>
          <xdr:row>3</xdr:row>
          <xdr:rowOff>180975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2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4</xdr:row>
          <xdr:rowOff>9525</xdr:rowOff>
        </xdr:from>
        <xdr:to>
          <xdr:col>1</xdr:col>
          <xdr:colOff>390525</xdr:colOff>
          <xdr:row>14</xdr:row>
          <xdr:rowOff>190500</xdr:rowOff>
        </xdr:to>
        <xdr:sp macro="" textlink="">
          <xdr:nvSpPr>
            <xdr:cNvPr id="7169" name="List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28575</xdr:colOff>
      <xdr:row>4</xdr:row>
      <xdr:rowOff>9524</xdr:rowOff>
    </xdr:from>
    <xdr:to>
      <xdr:col>11</xdr:col>
      <xdr:colOff>581024</xdr:colOff>
      <xdr:row>20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1</xdr:col>
          <xdr:colOff>0</xdr:colOff>
          <xdr:row>1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21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6.xml"/><Relationship Id="rId20" Type="http://schemas.openxmlformats.org/officeDocument/2006/relationships/ctrlProp" Target="../ctrlProps/ctrlProp2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23EDF-8E60-4FA2-9119-8C1B34793A34}">
  <sheetPr codeName="Sheet1"/>
  <dimension ref="A1:Q20"/>
  <sheetViews>
    <sheetView zoomScale="93" zoomScaleNormal="93" zoomScaleSheetLayoutView="106" workbookViewId="0">
      <selection activeCell="B18" sqref="B18"/>
    </sheetView>
  </sheetViews>
  <sheetFormatPr defaultRowHeight="15"/>
  <cols>
    <col min="1" max="1" width="21.7109375" customWidth="1"/>
    <col min="2" max="2" width="11.5703125" customWidth="1"/>
    <col min="3" max="3" width="18.42578125" customWidth="1"/>
    <col min="4" max="4" width="18.7109375" customWidth="1"/>
    <col min="5" max="5" width="14.7109375" customWidth="1"/>
    <col min="6" max="6" width="15.140625" customWidth="1"/>
    <col min="7" max="7" width="17.42578125" customWidth="1"/>
    <col min="8" max="9" width="9.140625" customWidth="1"/>
  </cols>
  <sheetData>
    <row r="1" spans="1:17" ht="15" customHeight="1"/>
    <row r="2" spans="1:17" ht="15.75" customHeight="1">
      <c r="B2" s="90"/>
    </row>
    <row r="3" spans="1:17" ht="15.75" thickBot="1"/>
    <row r="4" spans="1:17" ht="21" customHeight="1">
      <c r="A4" s="96" t="s">
        <v>166</v>
      </c>
      <c r="B4" s="97"/>
      <c r="C4" s="97"/>
      <c r="D4" s="97"/>
      <c r="E4" s="98"/>
      <c r="F4" s="85"/>
      <c r="G4" s="3"/>
      <c r="H4" s="3"/>
      <c r="Q4">
        <f>StockTankSG(OUTPUT!B7,INPUT!E19,INPUT!E18,INPUT!B16,INPUT!E20,INPUT!B11)</f>
        <v>8.5423806968219163E-2</v>
      </c>
    </row>
    <row r="5" spans="1:17" ht="21.75" customHeight="1" thickBot="1">
      <c r="A5" s="99"/>
      <c r="B5" s="100"/>
      <c r="C5" s="100"/>
      <c r="D5" s="100"/>
      <c r="E5" s="101"/>
      <c r="F5" s="86"/>
      <c r="G5" s="3"/>
      <c r="H5" s="3"/>
      <c r="I5">
        <f>CONVERT(B7,"F","C")</f>
        <v>57.777777777777779</v>
      </c>
    </row>
    <row r="6" spans="1:17" s="1" customFormat="1" ht="20.25" customHeight="1" thickBot="1">
      <c r="A6" s="105" t="s">
        <v>0</v>
      </c>
      <c r="B6" s="106"/>
      <c r="C6" s="107"/>
      <c r="D6" s="102" t="s">
        <v>10</v>
      </c>
      <c r="E6" s="103"/>
      <c r="F6" s="104"/>
      <c r="G6"/>
      <c r="H6"/>
      <c r="I6" s="1">
        <f>CONVERT(B9,"psi","atm")</f>
        <v>340.22981954938865</v>
      </c>
      <c r="J6" s="1">
        <f>I6*1.01325</f>
        <v>344.73786465841806</v>
      </c>
    </row>
    <row r="7" spans="1:17" ht="18.75" customHeight="1">
      <c r="A7" s="67" t="s">
        <v>172</v>
      </c>
      <c r="B7" s="40">
        <v>136</v>
      </c>
      <c r="C7" s="41" t="s">
        <v>1</v>
      </c>
      <c r="D7" s="52" t="s">
        <v>11</v>
      </c>
      <c r="E7" s="53">
        <v>0</v>
      </c>
      <c r="F7" s="44" t="s">
        <v>13</v>
      </c>
      <c r="H7">
        <f>532+CONVERT(1,"atm","psi")</f>
        <v>546.69594877551344</v>
      </c>
    </row>
    <row r="8" spans="1:17" s="2" customFormat="1" ht="16.5" customHeight="1">
      <c r="A8" s="42" t="s">
        <v>29</v>
      </c>
      <c r="B8" s="43">
        <v>59</v>
      </c>
      <c r="C8" s="44" t="s">
        <v>1</v>
      </c>
      <c r="D8" s="42" t="s">
        <v>12</v>
      </c>
      <c r="E8" s="46">
        <v>0</v>
      </c>
      <c r="F8" s="44" t="s">
        <v>13</v>
      </c>
      <c r="G8"/>
      <c r="H8"/>
    </row>
    <row r="9" spans="1:17" ht="15" customHeight="1">
      <c r="A9" s="45" t="s">
        <v>171</v>
      </c>
      <c r="B9" s="46">
        <v>5000</v>
      </c>
      <c r="C9" s="44" t="s">
        <v>2</v>
      </c>
      <c r="D9" s="42" t="s">
        <v>141</v>
      </c>
      <c r="E9" s="54"/>
      <c r="F9" s="55"/>
      <c r="G9" s="1"/>
      <c r="H9" s="1"/>
    </row>
    <row r="10" spans="1:17" ht="15.75" thickBot="1">
      <c r="A10" s="42" t="s">
        <v>30</v>
      </c>
      <c r="B10" s="46">
        <v>14.7</v>
      </c>
      <c r="C10" s="44" t="s">
        <v>2</v>
      </c>
      <c r="D10" s="49"/>
      <c r="E10" s="49"/>
      <c r="F10" s="56"/>
    </row>
    <row r="11" spans="1:17" ht="19.5" thickBot="1">
      <c r="A11" s="45" t="s">
        <v>170</v>
      </c>
      <c r="B11" s="46">
        <v>0.7</v>
      </c>
      <c r="C11" s="47" t="s">
        <v>3</v>
      </c>
      <c r="D11" s="102" t="s">
        <v>31</v>
      </c>
      <c r="E11" s="103"/>
      <c r="F11" s="104"/>
      <c r="G11" s="2"/>
      <c r="H11" s="2"/>
    </row>
    <row r="12" spans="1:17">
      <c r="A12" s="88" t="s">
        <v>173</v>
      </c>
      <c r="B12" s="46">
        <f>(B11*(OUTPUT!B7+OUTPUT!B6)-(INPUT!E20*OUTPUT!B7))/OUTPUT!B6</f>
        <v>0.93124355488166066</v>
      </c>
      <c r="C12" s="89" t="s">
        <v>3</v>
      </c>
      <c r="D12" s="52" t="s">
        <v>33</v>
      </c>
      <c r="E12" s="108" t="str">
        <f>OUTPUT!B24</f>
        <v>Natural Gas</v>
      </c>
      <c r="F12" s="109"/>
    </row>
    <row r="13" spans="1:17" ht="15.75" thickBot="1">
      <c r="A13" s="48"/>
      <c r="B13" s="49"/>
      <c r="C13" s="49"/>
      <c r="D13" s="42" t="s">
        <v>85</v>
      </c>
      <c r="E13" s="46">
        <v>0</v>
      </c>
      <c r="F13" s="44" t="s">
        <v>14</v>
      </c>
    </row>
    <row r="14" spans="1:17" ht="19.5" thickBot="1">
      <c r="A14" s="102" t="s">
        <v>4</v>
      </c>
      <c r="B14" s="103"/>
      <c r="C14" s="104"/>
      <c r="D14" s="42" t="s">
        <v>86</v>
      </c>
      <c r="E14" s="163">
        <v>5.5999999999999999E-3</v>
      </c>
      <c r="F14" s="44" t="s">
        <v>14</v>
      </c>
    </row>
    <row r="15" spans="1:17">
      <c r="A15" s="52" t="s">
        <v>33</v>
      </c>
      <c r="B15" s="108" t="str">
        <f>OUTPUT!B15</f>
        <v>Unsaturated</v>
      </c>
      <c r="C15" s="109"/>
      <c r="D15" s="58" t="s">
        <v>87</v>
      </c>
      <c r="E15" s="59">
        <v>0</v>
      </c>
      <c r="F15" s="60" t="s">
        <v>14</v>
      </c>
    </row>
    <row r="16" spans="1:17" ht="15.75" thickBot="1">
      <c r="A16" s="42" t="s">
        <v>5</v>
      </c>
      <c r="B16" s="46">
        <v>27.73</v>
      </c>
      <c r="C16" s="44" t="s">
        <v>6</v>
      </c>
      <c r="D16" s="61"/>
      <c r="E16" s="62"/>
      <c r="F16" s="63"/>
    </row>
    <row r="17" spans="1:6" ht="19.5" thickBot="1">
      <c r="A17" s="42" t="s">
        <v>32</v>
      </c>
      <c r="B17" s="46">
        <v>5000</v>
      </c>
      <c r="C17" s="44" t="s">
        <v>2</v>
      </c>
      <c r="D17" s="102" t="s">
        <v>7</v>
      </c>
      <c r="E17" s="103"/>
      <c r="F17" s="104"/>
    </row>
    <row r="18" spans="1:6">
      <c r="A18" s="42" t="s">
        <v>92</v>
      </c>
      <c r="B18" s="46">
        <f>113+CONVERT(1,"atm","psi")</f>
        <v>127.69594877551344</v>
      </c>
      <c r="C18" s="44" t="s">
        <v>2</v>
      </c>
      <c r="D18" s="52" t="s">
        <v>8</v>
      </c>
      <c r="E18" s="53">
        <v>120</v>
      </c>
      <c r="F18" s="57" t="s">
        <v>1</v>
      </c>
    </row>
    <row r="19" spans="1:6">
      <c r="A19" s="48"/>
      <c r="B19" s="49"/>
      <c r="C19" s="49"/>
      <c r="D19" s="42" t="s">
        <v>9</v>
      </c>
      <c r="E19" s="46">
        <f>15+CONVERT(1,"atm","psi")</f>
        <v>29.69594877551345</v>
      </c>
      <c r="F19" s="44" t="s">
        <v>2</v>
      </c>
    </row>
    <row r="20" spans="1:6" ht="15.75" thickBot="1">
      <c r="A20" s="50"/>
      <c r="B20" s="51"/>
      <c r="C20" s="51"/>
      <c r="D20" s="64" t="s">
        <v>174</v>
      </c>
      <c r="E20" s="65">
        <v>0.57817051519688567</v>
      </c>
      <c r="F20" s="66"/>
    </row>
  </sheetData>
  <mergeCells count="8">
    <mergeCell ref="A4:E5"/>
    <mergeCell ref="D17:F17"/>
    <mergeCell ref="A14:C14"/>
    <mergeCell ref="D11:F11"/>
    <mergeCell ref="D6:F6"/>
    <mergeCell ref="A6:C6"/>
    <mergeCell ref="B15:C15"/>
    <mergeCell ref="E12:F12"/>
  </mergeCells>
  <dataValidations count="10">
    <dataValidation type="whole" allowBlank="1" showInputMessage="1" showErrorMessage="1" error="For Accuration, the max value is 30" sqref="E7" xr:uid="{F2B1CB23-BBB8-4557-9F53-FAEFA14758A4}">
      <formula1>0</formula1>
      <formula2>30</formula2>
    </dataValidation>
    <dataValidation type="decimal" allowBlank="1" showInputMessage="1" showErrorMessage="1" error="Max 20%" sqref="E15" xr:uid="{FEB4D2BB-7AC1-40DA-9046-4318EB83A885}">
      <formula1>0</formula1>
      <formula2>0.2</formula2>
    </dataValidation>
    <dataValidation type="decimal" allowBlank="1" showInputMessage="1" showErrorMessage="1" error="Max 40%" sqref="E13:E14" xr:uid="{23EAFDCA-B201-4F74-85C7-C990A4588A74}">
      <formula1>0</formula1>
      <formula2>0.4</formula2>
    </dataValidation>
    <dataValidation type="decimal" allowBlank="1" showInputMessage="1" showErrorMessage="1" error="Error" sqref="B11" xr:uid="{4FCDDEEB-25D0-4558-B3C4-9CC8B1979A67}">
      <formula1>0.539</formula1>
      <formula2>0.8519</formula2>
    </dataValidation>
    <dataValidation type="decimal" errorStyle="warning" allowBlank="1" showInputMessage="1" showErrorMessage="1" error="accurate between 32 and 48" sqref="B16" xr:uid="{28B5D551-4616-44E9-A4EF-01CE07323FF5}">
      <formula1>32.2</formula1>
      <formula2>48</formula2>
    </dataValidation>
    <dataValidation type="decimal" errorStyle="warning" allowBlank="1" showInputMessage="1" showErrorMessage="1" error="The Most accurate between 1574 and 3575" sqref="B18 E19" xr:uid="{42246F9E-6E80-4F63-8A84-99F93A5288C3}">
      <formula1>1574</formula1>
      <formula2>3753</formula2>
    </dataValidation>
    <dataValidation type="decimal" errorStyle="warning" allowBlank="1" showInputMessage="1" showErrorMessage="1" error="The Most Accurate between 128 and 170" sqref="B7" xr:uid="{40A0C436-6B62-4201-B6FC-575BDDADB4A0}">
      <formula1>128</formula1>
      <formula2>170</formula2>
    </dataValidation>
    <dataValidation type="decimal" allowBlank="1" showInputMessage="1" showErrorMessage="1" error="error" sqref="E18" xr:uid="{4CBC5803-04AA-481D-A3C8-317C5EF1659E}">
      <formula1>60</formula1>
      <formula2>175</formula2>
    </dataValidation>
    <dataValidation type="decimal" allowBlank="1" showInputMessage="1" showErrorMessage="1" error="error" sqref="B10" xr:uid="{2BD29CDB-2E72-4E59-9B05-B52626517830}">
      <formula1>14</formula1>
      <formula2>15</formula2>
    </dataValidation>
    <dataValidation type="custom" allowBlank="1" showInputMessage="1" showErrorMessage="1" sqref="I10" xr:uid="{891084D7-E306-46E1-BEB5-4BC151509C62}">
      <formula1>2*G8</formula1>
    </dataValidation>
  </dataValidations>
  <pageMargins left="0.7" right="0.7" top="0.75" bottom="0.75" header="0.3" footer="0.3"/>
  <pageSetup scale="9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Drop Down 2">
              <controlPr defaultSize="0" autoLine="0" autoPict="0">
                <anchor moveWithCells="1">
                  <from>
                    <xdr:col>3</xdr:col>
                    <xdr:colOff>1238250</xdr:colOff>
                    <xdr:row>7</xdr:row>
                    <xdr:rowOff>209550</xdr:rowOff>
                  </from>
                  <to>
                    <xdr:col>5</xdr:col>
                    <xdr:colOff>990600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Menusheet.Menusheet">
                <anchor moveWithCells="1" sizeWithCells="1">
                  <from>
                    <xdr:col>5</xdr:col>
                    <xdr:colOff>19050</xdr:colOff>
                    <xdr:row>3</xdr:row>
                    <xdr:rowOff>28575</xdr:rowOff>
                  </from>
                  <to>
                    <xdr:col>5</xdr:col>
                    <xdr:colOff>990600</xdr:colOff>
                    <xdr:row>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Goalseek_limited">
                <anchor moveWithCells="1" sizeWithCells="1">
                  <from>
                    <xdr:col>5</xdr:col>
                    <xdr:colOff>28575</xdr:colOff>
                    <xdr:row>19</xdr:row>
                    <xdr:rowOff>19050</xdr:rowOff>
                  </from>
                  <to>
                    <xdr:col>5</xdr:col>
                    <xdr:colOff>1000125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AB66C-BF38-4A41-8294-73CD80A9C0C6}">
  <sheetPr codeName="Sheet2"/>
  <dimension ref="A1:M31"/>
  <sheetViews>
    <sheetView zoomScaleNormal="100" zoomScaleSheetLayoutView="100" workbookViewId="0">
      <selection activeCell="B10" sqref="B10"/>
    </sheetView>
  </sheetViews>
  <sheetFormatPr defaultRowHeight="15"/>
  <cols>
    <col min="1" max="1" width="22.7109375" customWidth="1"/>
    <col min="2" max="2" width="18.42578125" customWidth="1"/>
    <col min="3" max="3" width="10.7109375" customWidth="1"/>
    <col min="4" max="4" width="18.28515625" customWidth="1"/>
    <col min="7" max="7" width="12" bestFit="1" customWidth="1"/>
    <col min="8" max="8" width="9.28515625" customWidth="1"/>
  </cols>
  <sheetData>
    <row r="1" spans="1:9" ht="15" customHeight="1">
      <c r="A1" s="110" t="s">
        <v>163</v>
      </c>
      <c r="B1" s="111"/>
      <c r="C1" s="111"/>
      <c r="D1" s="111"/>
      <c r="E1" s="79"/>
    </row>
    <row r="2" spans="1:9" ht="15.75" customHeight="1" thickBot="1">
      <c r="A2" s="112"/>
      <c r="B2" s="113"/>
      <c r="C2" s="113"/>
      <c r="D2" s="113"/>
      <c r="E2" s="80"/>
    </row>
    <row r="3" spans="1:9" ht="32.25" customHeight="1" thickBot="1">
      <c r="A3" s="4" t="s">
        <v>37</v>
      </c>
      <c r="B3" s="5" t="s">
        <v>34</v>
      </c>
      <c r="C3" s="5" t="s">
        <v>35</v>
      </c>
      <c r="D3" s="6" t="s">
        <v>36</v>
      </c>
      <c r="E3" s="6" t="s">
        <v>33</v>
      </c>
    </row>
    <row r="4" spans="1:9" ht="20.25" customHeight="1">
      <c r="A4" s="37" t="s">
        <v>168</v>
      </c>
      <c r="B4" s="32">
        <f>_xlfn.IFS(CORET!A1=1,RSGLASOPB(INPUT!B16,INPUT!B11,INPUT!B7,INPUT!B18),CORET!A1=2,RSSTANDINGPB(INPUT!B16,INPUT!B7,INPUT!B11,INPUT!B18),CORET!A1=3,RSVASCUESSPB(INPUT!E20,INPUT!B16,INPUT!B7,INPUT!E18,INPUT!E19,INPUT!B18),CORET!A1=4,RSLASATERPB(INPUT!B16,INPUT!B7,INPUT!B11,INPUT!B18,0),CORET!A1=5,RSFARSHADPB(INPUT!B18,INPUT!B16,INPUT!B7,INPUT!B11),CORET!A1=6,RSKARTOPB(INPUT!E18,INPUT!E19,INPUT!B16,INPUT!E20,INPUT!B18,INPUT!B7),CORET!A1=7,RSMARHOUNPB(INPUT!B11,INPUT!B16,INPUT!B7,INPUT!B18),CORET!A1=8,RSHANAFY(INPUT!B17,INPUT!B18,0),CORET!A1=9,RSVELARDEPB(INPUT!B18,INPUT!B11,INPUT!B16,INPUT!B7))</f>
        <v>8.771124584531691</v>
      </c>
      <c r="C4" s="33" t="s">
        <v>2</v>
      </c>
      <c r="D4" s="39"/>
      <c r="E4" s="124" t="s">
        <v>68</v>
      </c>
      <c r="H4" s="27"/>
    </row>
    <row r="5" spans="1:9" ht="20.25" customHeight="1">
      <c r="A5" s="29" t="s">
        <v>16</v>
      </c>
      <c r="B5" s="33">
        <f>_xlfn.IFS(CORET!A1=1,RSGLASO(INPUT!B16,INPUT!B11,INPUT!B7,B15,INPUT!B17,INPUT!B18),CORET!A1=2,RSSTANDING(INPUT!B17,INPUT!B16,INPUT!B7,INPUT!B11,B15,INPUT!B18),CORET!A1=3,RSVASCUESS(INPUT!E20,INPUT!B17,INPUT!B16,INPUT!B7,INPUT!E18,INPUT!E19,OUTPUT!B15,INPUT!B18),CORET!A1=4,RSLASATER(INPUT!B17,INPUT!B16,INPUT!B7,INPUT!B11,INPUT!B18,OUTPUT!B15),CORET!A1=5,RSFARSHAD(INPUT!B17,INPUT!B18,INPUT!B16,INPUT!B7,INPUT!B11,OUTPUT!B15),CORET!A1=6,RSKARTO(INPUT!E18,INPUT!E19,INPUT!B16,INPUT!E20,INPUT!B17,INPUT!B18,INPUT!B7,OUTPUT!B15),CORET!A1=7,RSMARHOUN(INPUT!B11,INPUT!B16,INPUT!B7,INPUT!B17,INPUT!B18,OUTPUT!B15),CORET!A1=8,RSHANAFY(INPUT!B17,INPUT!B18,OUTPUT!B15),CORET!A1=9,RSVELARDE(INPUT!B17,INPUT!B18,INPUT!B11,INPUT!B16,INPUT!B7,OUTPUT!B15),CORET!A1=10,RSFARSHAD(INPUT!B17,B4,INPUT!B16,INPUT!B7,INPUT!B11,OUTPUT!B15))</f>
        <v>8.771124584531691</v>
      </c>
      <c r="C5" s="33" t="s">
        <v>45</v>
      </c>
      <c r="D5" s="26"/>
      <c r="E5" s="125"/>
      <c r="H5" s="28"/>
      <c r="I5" s="28"/>
    </row>
    <row r="6" spans="1:9" ht="20.100000000000001" customHeight="1">
      <c r="A6" s="29" t="s">
        <v>83</v>
      </c>
      <c r="B6" s="33">
        <f>RSSTOCK(INPUT!E19,INPUT!E18,INPUT!B16)</f>
        <v>3.0265170918500601</v>
      </c>
      <c r="C6" s="35" t="s">
        <v>45</v>
      </c>
      <c r="D6" s="26"/>
      <c r="E6" s="125"/>
      <c r="H6" s="28"/>
    </row>
    <row r="7" spans="1:9" ht="20.100000000000001" customHeight="1">
      <c r="A7" s="29" t="s">
        <v>169</v>
      </c>
      <c r="B7" s="33">
        <f>B4-B6</f>
        <v>5.7446074926816308</v>
      </c>
      <c r="C7" s="35" t="s">
        <v>45</v>
      </c>
      <c r="D7" s="26"/>
      <c r="E7" s="125"/>
      <c r="H7" s="28"/>
    </row>
    <row r="8" spans="1:9" ht="20.25" customHeight="1">
      <c r="A8" s="38" t="s">
        <v>15</v>
      </c>
      <c r="B8" s="33">
        <f>_xlfn.IFS(CORET!G1=1,standingBO(INPUT!B7,INPUT!B11,INPUT!B16,B13,B15,INPUT!B17,INPUT!B18),CORET!G1=2,VasquezzBO(INPUT!B7,INPUT!E20,INPUT!B11,INPUT!B16,B13,B15,INPUT!B17,INPUT!B18,INPUT!E19,INPUT!E18),CORET!G1=3,GlasoBo(INPUT!B11,INPUT!B16,INPUT!B7,INPUT!B17,B15,INPUT!B18,B13),CORET!G1=4,FarshadBo(INPUT!B11,INPUT!B16,INPUT!B7,INPUT!B17,INPUT!B18,B13,B15),CORET!G1=5,LeblancBo(B13,INPUT!B17,INPUT!B18,INPUT!B16,INPUT!B7,INPUT!B11,B15),CORET!G1=6,MarhounBo(B13,INPUT!B11,INPUT!B16,INPUT!B7,INPUT!B17,INPUT!B18,B15),CORET!G1=7,KartoBo(B13,INPUT!E18,INPUT!E19,INPUT!B16,INPUT!E20,INPUT!B17,INPUT!B18,INPUT!B7,OUTPUT!B15),CORET!G1=8,AlmaedhaidebBo(B13,INPUT!E20,INPUT!B17,INPUT!B16,INPUT!B7,INPUT!E18,INPUT!E19,B15,INPUT!B18),CORET!G1=9,AlshammasiBo(B13,INPUT!B11,INPUT!E20,INPUT!B17,INPUT!B16,INPUT!B7,INPUT!E18,INPUT!E19,B15,INPUT!B18),CORET!G1=10,SharkawyBo(B13,INPUT!B11,INPUT!E20,INPUT!B17,INPUT!B16,INPUT!B7,INPUT!E18,INPUT!E19,B15,INPUT!B18),CORET!G1=11,OsmanBo(B13,INPUT!B11,INPUT!E20,INPUT!B17,INPUT!B16,INPUT!B7,INPUT!E18,INPUT!E19,OUTPUT!B15,INPUT!B18),CORET!G1=12,HanafyBo(B13,INPUT!B17,INPUT!B18,B15))</f>
        <v>1.0147505382038522</v>
      </c>
      <c r="C8" s="33" t="s">
        <v>115</v>
      </c>
      <c r="D8" s="26"/>
      <c r="E8" s="125"/>
      <c r="H8" s="27"/>
    </row>
    <row r="9" spans="1:9" ht="20.25" customHeight="1">
      <c r="A9" s="29" t="s">
        <v>21</v>
      </c>
      <c r="B9" s="33">
        <f>_xlfn.IFS(CORET!H1=1,oildensstandard(INPUT!B16,B5,INPUT!B11,B8,B13,B15),CORET!H1=2,oildenshanafy(INPUT!B16,INPUT!B11,B13,INPUT!B17,INPUT!B18,OUTPUT!B15),CORET!H1=3,oildensstanding(INPUT!B16,INPUT!E20,INPUT!B11,INPUT!B17,INPUT!B18,OUTPUT!B15,B13),CORET!H1=4,oildensbalance(INPUT!B16,INPUT!B11,INPUT!B18,B5,B13,INPUT!B17,INPUT!B7,B8,B15))</f>
        <v>47.391638228142554</v>
      </c>
      <c r="C9" s="33" t="s">
        <v>126</v>
      </c>
      <c r="D9" s="26"/>
      <c r="E9" s="125"/>
      <c r="H9" s="27"/>
    </row>
    <row r="10" spans="1:9" ht="21" customHeight="1">
      <c r="A10" s="29" t="s">
        <v>23</v>
      </c>
      <c r="B10" s="33">
        <f>_xlfn.IFS(CORET!I1=1,OilVisBeggs(INPUT!B16,INPUT!B7,INPUT!E20,INPUT!E18,INPUT!E19,B15,INPUT!B17,INPUT!B18),CORET!I1=2,OilVisBeal(INPUT!B16,INPUT!B7,INPUT!E20,INPUT!E18,INPUT!E19,B15,INPUT!B17,INPUT!B18),CORET!I1=3,OilVisEgbogah(INPUT!E20,INPUT!B17,INPUT!B16,INPUT!B7,INPUT!E18,INPUT!E19,B15,INPUT!B18),CORET!I1=4,OilVisPetro(INPUT!E20,INPUT!B17,INPUT!B16,INPUT!B7,INPUT!E18,INPUT!E19,B15,INPUT!B18),CORET!I1=5,OilVisMarhoun(INPUT!B11,INPUT!B16,INPUT!B7,INPUT!B17,INPUT!B18,OUTPUT!B15),CORET!I1=6,OilVisAlmae(INPUT!E20,INPUT!B11,INPUT!B17,INPUT!B16,INPUT!B7,INPUT!E18,INPUT!E19,B15,INPUT!B18),CORET!I1=7,OilVisKhan(INPUT!E20,INPUT!B11,INPUT!B17,INPUT!B16,INPUT!B7,INPUT!E18,INPUT!E19,B15,INPUT!B18),CORET!I1=8,OilVisHanafy(INPUT!B16,INPUT!E20,INPUT!B11,INPUT!B17,INPUT!B18,OUTPUT!B15,B13))</f>
        <v>13.152478863437386</v>
      </c>
      <c r="C10" s="33" t="s">
        <v>134</v>
      </c>
      <c r="D10" s="26"/>
      <c r="E10" s="125"/>
      <c r="H10" s="28"/>
    </row>
    <row r="11" spans="1:9" ht="12.75" hidden="1" customHeight="1">
      <c r="E11" s="125"/>
    </row>
    <row r="12" spans="1:9" ht="12.75" hidden="1" customHeight="1">
      <c r="E12" s="125"/>
    </row>
    <row r="13" spans="1:9" ht="20.25" customHeight="1">
      <c r="A13" s="29" t="s">
        <v>26</v>
      </c>
      <c r="B13" s="33">
        <f>_xlfn.IFS(CORET!F1=1,CoVaquezz(INPUT!E20,INPUT!B17,INPUT!B16,INPUT!B7,INPUT!E18,INPUT!E19,OUTPUT!B15,INPUT!B18,INPUT!B11),CORET!F1=2,CoPetrosky(INPUT!B11,INPUT!B17,INPUT!B16,INPUT!B7,OUTPUT!B15,INPUT!B18),CORET!F1=3,CoFarshad(INPUT!E20,INPUT!B11,INPUT!B17,INPUT!B16,INPUT!B7,INPUT!E18,INPUT!E19,OUTPUT!B15,INPUT!B18),CORET!F1=4,CoAlmehaideb(INPUT!E20,INPUT!B17,INPUT!B16,INPUT!B7,INPUT!E18,INPUT!E19,OUTPUT!B15,INPUT!B18),CORET!F1=5,CoSharkawy(INPUT!E20,INPUT!B17,INPUT!B16,INPUT!B7,INPUT!E18,INPUT!E19,OUTPUT!B15,INPUT!B18),CORET!F1=6,CoKarto(INPUT!E20,INPUT!B17,INPUT!B16,INPUT!B7,INPUT!E18,INPUT!E19,B15,INPUT!B18),CORET!F1=7,CoAhmed(INPUT!E20,INPUT!B17,INPUT!B16,INPUT!B7,INPUT!E18,INPUT!E19,B15,INPUT!B18),CORET!F1=8,CoDindoruk(INPUT!E20,INPUT!B11,INPUT!B17,INPUT!B16,INPUT!B7,INPUT!E18,INPUT!E19,B15,INPUT!B18),CORET!F1=9,CoMcCain(INPUT!E20,INPUT!B17,INPUT!B16,INPUT!B7,INPUT!E18,INPUT!E19,B15,INPUT!B18),CORET!F1=10,CoMarhoun(INPUT!E20,INPUT!B11,INPUT!B17,INPUT!B16,INPUT!B7,B15,INPUT!B18),CORET!F1=11,CoCalhoun(INPUT!E20,INPUT!B11,INPUT!B17,INPUT!B16,INPUT!B7,INPUT!E18,INPUT!E19,B15,INPUT!B18),CORET!F1=12,CoLabedi(INPUT!E20,INPUT!B11,INPUT!B17,INPUT!B16,INPUT!B7,B15,INPUT!B18),CORET!F1=13,CoDegetto(INPUT!E20,INPUT!B11,INPUT!B17,INPUT!B16,INPUT!B7,INPUT!E18,INPUT!E19,B15,INPUT!B18))</f>
        <v>5.4613888968093674E-6</v>
      </c>
      <c r="C13" s="35" t="s">
        <v>145</v>
      </c>
      <c r="D13" s="26"/>
      <c r="E13" s="125"/>
      <c r="H13" s="28"/>
    </row>
    <row r="14" spans="1:9" ht="20.25" customHeight="1">
      <c r="A14" s="29" t="s">
        <v>76</v>
      </c>
      <c r="B14" s="33"/>
      <c r="C14" s="119"/>
      <c r="D14" s="120"/>
      <c r="E14" s="125"/>
      <c r="H14" s="28"/>
    </row>
    <row r="15" spans="1:9" ht="20.25" customHeight="1" thickBot="1">
      <c r="A15" s="31" t="s">
        <v>77</v>
      </c>
      <c r="B15" s="127" t="str">
        <f>IF(INPUT!B17&gt;INPUT!B18,"Unsaturated","Saturated")</f>
        <v>Unsaturated</v>
      </c>
      <c r="C15" s="128"/>
      <c r="D15" s="129"/>
      <c r="E15" s="126"/>
      <c r="H15" s="28"/>
    </row>
    <row r="16" spans="1:9" ht="20.25" customHeight="1">
      <c r="A16" s="93" t="s">
        <v>80</v>
      </c>
      <c r="B16" s="32">
        <f>_xlfn.IFS(CORET!D1=1,suttonTpc(INPUT!B11,INPUT!E14,INPUT!E13,INPUT!E15,CORET!C1),CORET!D1=2,standingTpc(INPUT!B11,INPUT!E14,INPUT!E13,INPUT!E15,CORET!C1),CORET!D1=3,piperTpc(INPUT!B11,INPUT!E13,INPUT!E14,INPUT!E15)-459.67)</f>
        <v>-71.714480937796679</v>
      </c>
      <c r="C16" s="32" t="s">
        <v>1</v>
      </c>
      <c r="D16" s="92"/>
      <c r="E16" s="121" t="s">
        <v>69</v>
      </c>
      <c r="H16" s="28"/>
    </row>
    <row r="17" spans="1:13" ht="20.25" customHeight="1">
      <c r="A17" s="30" t="s">
        <v>81</v>
      </c>
      <c r="B17" s="33">
        <f>_xlfn.IFS(CORET!D1=1,suttonPpc(INPUT!B11,INPUT!E14,INPUT!E13,INPUT!E15,CORET!C1),CORET!D1=2,standingPpc(INPUT!B11,INPUT!E14,INPUT!E13,INPUT!E15,CORET!C1),CORET!D1=3,piperPpc(INPUT!B11,INPUT!E13,INPUT!E14,INPUT!E15))</f>
        <v>659.29727616151001</v>
      </c>
      <c r="C17" s="33" t="s">
        <v>2</v>
      </c>
      <c r="D17" s="26"/>
      <c r="E17" s="122"/>
      <c r="H17" s="28"/>
    </row>
    <row r="18" spans="1:13" ht="20.25" customHeight="1">
      <c r="A18" s="30" t="s">
        <v>82</v>
      </c>
      <c r="B18" s="117"/>
      <c r="C18" s="118"/>
      <c r="D18" s="118"/>
      <c r="E18" s="122"/>
      <c r="H18" s="28"/>
    </row>
    <row r="19" spans="1:13" ht="20.25" customHeight="1">
      <c r="A19" s="29" t="s">
        <v>17</v>
      </c>
      <c r="B19" s="33">
        <f>Bggeneral(INPUT!B10,INPUT!B17,INPUT!B8,INPUT!B7,B21)</f>
        <v>6.5462745195727862E-3</v>
      </c>
      <c r="C19" s="33" t="s">
        <v>146</v>
      </c>
      <c r="D19" s="26"/>
      <c r="E19" s="122"/>
      <c r="H19" s="28"/>
    </row>
    <row r="20" spans="1:13" ht="20.25" customHeight="1">
      <c r="A20" s="29" t="s">
        <v>78</v>
      </c>
      <c r="B20" s="33">
        <f>gasdensgeneral(INPUT!B17,B21,INPUT!B7+459.67)</f>
        <v>13.236495044465046</v>
      </c>
      <c r="C20" s="33" t="s">
        <v>126</v>
      </c>
      <c r="D20" s="26"/>
      <c r="E20" s="122"/>
      <c r="H20" s="28"/>
    </row>
    <row r="21" spans="1:13" ht="20.25" customHeight="1">
      <c r="A21" s="29" t="s">
        <v>20</v>
      </c>
      <c r="B21" s="33">
        <f>_xlfn.IFS(CORET!E1=1,ZAbouKassem(INPUT!B17/OUTPUT!B17,(INPUT!B7+459.67)/(OUTPUT!B16+459.67),150,10^-12),CORET!E1=2,ZBeggsbrill(INPUT!B7+459.67,INPUT!B17,B16+459.67,B17),CORET!E1=3,hall(INPUT!B17,INPUT!B7+459.67,B16+459.67,B17),CORET!E1=4,zpapay(INPUT!B7+459.67,INPUT!B17,B16+459.67,B17))</f>
        <v>0.96596187638754094</v>
      </c>
      <c r="C21" s="34" t="s">
        <v>3</v>
      </c>
      <c r="D21" s="26"/>
      <c r="E21" s="122"/>
      <c r="H21" s="28"/>
    </row>
    <row r="22" spans="1:13" ht="20.25" customHeight="1">
      <c r="A22" s="29" t="s">
        <v>24</v>
      </c>
      <c r="B22" s="33">
        <f>_xlfn.IFS(CORET!J1=1,ViscGas(INPUT!B17,INPUT!B7,INPUT!B11,OUTPUT!B21),CORET!J1=2,ViscCarr(INPUT!B17,INPUT!B7,INPUT!B11,B17,B16,INPUT!E15,INPUT!E14,INPUT!E13),CORET!J1=3,VisJossi(INPUT!B17,OUTPUT!B17,INPUT!B7,B16,B21,INPUT!B11),CORET!J1=4,VisDean(INPUT!B17,B17,INPUT!B7,B16,B21,INPUT!B11),CORET!J1=5,VisLucas(INPUT!B17,OUTPUT!B17,INPUT!B7,B16,INPUT!B11),CORET!J1=6,VisLondono(INPUT!B17,B21,INPUT!B7,INPUT!B11),CORET!J1=7,VisSutton(INPUT!B17,B21,INPUT!B7,B16,INPUT!B11,OUTPUT!B17))</f>
        <v>2.9291133826101309E-2</v>
      </c>
      <c r="C22" s="33" t="s">
        <v>134</v>
      </c>
      <c r="D22" s="26"/>
      <c r="E22" s="122"/>
      <c r="H22" s="28"/>
    </row>
    <row r="23" spans="1:13" ht="20.25" customHeight="1">
      <c r="A23" s="29" t="s">
        <v>27</v>
      </c>
      <c r="B23" s="33">
        <f>_xlfn.IFS(CORET!K1=1,CgHall(INPUT!B17,INPUT!B7,OUTPUT!B16,B17,CORET!D19),CORET!K1=2,CgDranchuk(INPUT!B17,INPUT!B7,B16,B17,CORET!D20))</f>
        <v>7.7157796094523128E-5</v>
      </c>
      <c r="C23" s="33" t="s">
        <v>145</v>
      </c>
      <c r="D23" s="26"/>
      <c r="E23" s="122"/>
      <c r="H23" s="28"/>
    </row>
    <row r="24" spans="1:13" ht="20.25" customHeight="1" thickBot="1">
      <c r="A24" s="31" t="s">
        <v>79</v>
      </c>
      <c r="B24" s="127" t="str">
        <f>IF(sghc(INPUT!E13,INPUT!E14,INPUT!E15,INPUT!B11)&lt;0.75,"Natural Gas","Condensate Gas")</f>
        <v>Natural Gas</v>
      </c>
      <c r="C24" s="128"/>
      <c r="D24" s="129"/>
      <c r="E24" s="123"/>
      <c r="H24" s="28"/>
    </row>
    <row r="25" spans="1:13" ht="20.25" customHeight="1">
      <c r="A25" s="91" t="s">
        <v>22</v>
      </c>
      <c r="B25" s="32">
        <f>Density_Brine(INPUT!B17,INPUT!B7,INPUT!B18,B15,INPUT!E7,B29,INPUT!E8)</f>
        <v>65.531813662760456</v>
      </c>
      <c r="C25" s="32" t="s">
        <v>126</v>
      </c>
      <c r="D25" s="92"/>
      <c r="E25" s="114" t="s">
        <v>70</v>
      </c>
      <c r="H25" s="28"/>
    </row>
    <row r="26" spans="1:13" ht="20.25" customHeight="1">
      <c r="A26" s="29" t="s">
        <v>18</v>
      </c>
      <c r="B26" s="33">
        <f>_xlfn.IFS(CORET!M1=1,BWMeehan(INPUT!B17,INPUT!B7,CORET!E18,INPUT!E8),CORET!M1=2,BWMCain(INPUT!B17,INPUT!B7,OUTPUT!B21,B15,INPUT!E7,INPUT!B18,INPUT!B10,INPUT!B8))</f>
        <v>0.95172095069667906</v>
      </c>
      <c r="C26" s="33" t="s">
        <v>115</v>
      </c>
      <c r="D26" s="26"/>
      <c r="E26" s="115"/>
      <c r="H26" s="28"/>
      <c r="I26" s="87"/>
      <c r="J26" s="87"/>
      <c r="K26" s="87"/>
      <c r="L26" s="87"/>
      <c r="M26" s="87"/>
    </row>
    <row r="27" spans="1:13" ht="20.25" customHeight="1">
      <c r="A27" s="29" t="s">
        <v>19</v>
      </c>
      <c r="B27" s="33">
        <f>RswMcCain(INPUT!B17,INPUT!B7,INPUT!E7)</f>
        <v>22.234014608550403</v>
      </c>
      <c r="C27" s="33" t="s">
        <v>45</v>
      </c>
      <c r="D27" s="26"/>
      <c r="E27" s="115"/>
      <c r="H27" s="28"/>
      <c r="I27" s="87"/>
      <c r="J27" s="87"/>
      <c r="K27" s="87"/>
      <c r="L27" s="87"/>
      <c r="M27" s="87"/>
    </row>
    <row r="28" spans="1:13" ht="20.25" customHeight="1">
      <c r="A28" s="29" t="s">
        <v>25</v>
      </c>
      <c r="B28" s="33">
        <f>_xlfn.IFS(CORET!L1=1,ViscBrine(INPUT!B17,INPUT!B7,INPUT!E7),CORET!L1=2,ViscMeehan(INPUT!B17,INPUT!B7,INPUT!E8),CORET!L1=3,ViscKestin(INPUT!B17,INPUT!B7,INPUT!E7))</f>
        <v>0.49030019732658531</v>
      </c>
      <c r="C28" s="33" t="s">
        <v>134</v>
      </c>
      <c r="D28" s="26"/>
      <c r="E28" s="115"/>
      <c r="H28" s="28"/>
      <c r="I28" s="87"/>
      <c r="J28" s="87"/>
      <c r="K28" s="87"/>
      <c r="L28" s="87"/>
      <c r="M28" s="87"/>
    </row>
    <row r="29" spans="1:13" ht="20.25" customHeight="1" thickBot="1">
      <c r="A29" s="31" t="s">
        <v>28</v>
      </c>
      <c r="B29" s="94">
        <f>_xlfn.IFS(CORET!N1=1,CWaterMeehan(INPUT!B17,INPUT!B7,CORET!E18,INPUT!E8,B27),CORET!N1=2,CWater(INPUT!B17,INPUT!B7,B21,B15,INPUT!E7,INPUT!B18,INPUT!B10,INPUT!B8))</f>
        <v>2.7019632652052613E-5</v>
      </c>
      <c r="C29" s="94" t="s">
        <v>145</v>
      </c>
      <c r="D29" s="95"/>
      <c r="E29" s="116"/>
      <c r="H29" s="28"/>
    </row>
    <row r="30" spans="1:13">
      <c r="H30" s="28"/>
    </row>
    <row r="31" spans="1:13">
      <c r="H31" s="28"/>
    </row>
  </sheetData>
  <mergeCells count="8">
    <mergeCell ref="A1:D2"/>
    <mergeCell ref="E25:E29"/>
    <mergeCell ref="B18:D18"/>
    <mergeCell ref="C14:D14"/>
    <mergeCell ref="E16:E24"/>
    <mergeCell ref="E4:E15"/>
    <mergeCell ref="B15:D15"/>
    <mergeCell ref="B24:D2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Drop Down 3">
              <controlPr defaultSize="0" autoLine="0" autoPict="0">
                <anchor mov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Line="0" autoPict="0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Drop Down 5">
              <controlPr defaultSize="0" autoLine="0" autoPict="0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Drop Down 6">
              <controlPr defaultSize="0" autoLine="0" autoPict="0">
                <anchor mov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Drop Down 7">
              <controlPr defaultSize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Drop Down 8">
              <controlPr defaultSize="0" autoLine="0" autoPict="0">
                <anchor mov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0" name="Drop Down 10">
              <controlPr defaultSize="0" autoLine="0" autoPict="0">
                <anchor mov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1" name="Drop Down 11">
              <controlPr defaultSize="0" autoLine="0" autoPict="0">
                <anchor mov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2" name="Drop Down 13">
              <controlPr defaultSize="0" autoLine="0" autoPict="0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3" name="Drop Down 14">
              <controlPr defaultSize="0" autoLine="0" autoPict="0">
                <anchor mov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4" name="Drop Down 15">
              <controlPr defaultSize="0" autoLine="0" autoPict="0">
                <anchor mov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5" name="Drop Down 16">
              <controlPr defaultSize="0" autoLine="0" autoPict="0">
                <anchor mov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6" name="Drop Down 17">
              <controlPr defaultSize="0" autoLine="0" autoPict="0">
                <anchor mov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7" name="Drop Down 18">
              <controlPr defaultSize="0" autoLine="0" autoPict="0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8" name="Drop Down 19">
              <controlPr defaultSize="0" autoLine="0" autoPict="0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9" name="Drop Down 20">
              <controlPr defaultSize="0" autoLine="0" autoPict="0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0" name="Drop Down 21">
              <controlPr defaultSize="0" autoLine="0" autoPict="0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1" name="Drop Down 22">
              <controlPr defaultSize="0" autoLine="0" autoPict="0">
                <anchor moveWithCells="1">
                  <from>
                    <xdr:col>2</xdr:col>
                    <xdr:colOff>704850</xdr:colOff>
                    <xdr:row>28</xdr:row>
                    <xdr:rowOff>19050</xdr:rowOff>
                  </from>
                  <to>
                    <xdr:col>3</xdr:col>
                    <xdr:colOff>1209675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2" name="Option Button 23">
              <controlPr defaultSize="0" autoFill="0" autoLine="0" autoPict="0">
                <anchor moveWithCells="1">
                  <from>
                    <xdr:col>1</xdr:col>
                    <xdr:colOff>409575</xdr:colOff>
                    <xdr:row>17</xdr:row>
                    <xdr:rowOff>19050</xdr:rowOff>
                  </from>
                  <to>
                    <xdr:col>2</xdr:col>
                    <xdr:colOff>114300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3" name="Option Button 24">
              <controlPr defaultSize="0" autoFill="0" autoLine="0" autoPict="0" altText="Carr-Kobayashi">
                <anchor moveWithCells="1">
                  <from>
                    <xdr:col>2</xdr:col>
                    <xdr:colOff>600075</xdr:colOff>
                    <xdr:row>17</xdr:row>
                    <xdr:rowOff>28575</xdr:rowOff>
                  </from>
                  <to>
                    <xdr:col>3</xdr:col>
                    <xdr:colOff>923925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4" name="Button 25">
              <controlPr defaultSize="0" print="0" autoFill="0" autoPict="0" macro="[0]!Menusheet.Menusheet">
                <anchor moveWithCells="1" sizeWithCells="1">
                  <from>
                    <xdr:col>4</xdr:col>
                    <xdr:colOff>19050</xdr:colOff>
                    <xdr:row>0</xdr:row>
                    <xdr:rowOff>9525</xdr:rowOff>
                  </from>
                  <to>
                    <xdr:col>4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5" name="Drop Down 27">
              <controlPr defaultSize="0" autoLine="0" autoPict="0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3</xdr:col>
                    <xdr:colOff>1209675</xdr:colOff>
                    <xdr:row>3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B862-1911-4BBB-A650-CDBBAD12191D}">
  <sheetPr codeName="Sheet4"/>
  <dimension ref="A1:R43"/>
  <sheetViews>
    <sheetView tabSelected="1" zoomScale="90" zoomScaleNormal="90" workbookViewId="0">
      <selection activeCell="A20" sqref="A20"/>
    </sheetView>
  </sheetViews>
  <sheetFormatPr defaultRowHeight="15"/>
  <cols>
    <col min="1" max="1" width="12.42578125" customWidth="1"/>
    <col min="2" max="2" width="13.140625" customWidth="1"/>
    <col min="3" max="3" width="13.5703125" customWidth="1"/>
    <col min="4" max="4" width="11.7109375" customWidth="1"/>
    <col min="5" max="5" width="11.140625" customWidth="1"/>
    <col min="6" max="6" width="12.42578125" customWidth="1"/>
    <col min="7" max="7" width="13.85546875" customWidth="1"/>
    <col min="8" max="8" width="11.140625" customWidth="1"/>
    <col min="9" max="9" width="10.7109375" customWidth="1"/>
    <col min="10" max="10" width="12.28515625" customWidth="1"/>
    <col min="11" max="11" width="12.7109375" customWidth="1"/>
    <col min="12" max="12" width="12.85546875" customWidth="1"/>
    <col min="13" max="13" width="12.28515625" customWidth="1"/>
    <col min="14" max="14" width="12" customWidth="1"/>
    <col min="15" max="15" width="13.5703125" customWidth="1"/>
    <col min="16" max="16" width="12.85546875" customWidth="1"/>
    <col min="17" max="17" width="14.5703125" customWidth="1"/>
  </cols>
  <sheetData>
    <row r="1" spans="1:18">
      <c r="C1" s="139" t="s">
        <v>164</v>
      </c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1"/>
    </row>
    <row r="2" spans="1:18">
      <c r="C2" s="142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4"/>
    </row>
    <row r="3" spans="1:18" ht="15.75" thickBot="1">
      <c r="C3" s="145"/>
      <c r="D3" s="146"/>
      <c r="E3" s="146"/>
      <c r="F3" s="146"/>
      <c r="G3" s="146"/>
      <c r="H3" s="146"/>
      <c r="I3" s="146"/>
      <c r="J3" s="146"/>
      <c r="K3" s="146"/>
      <c r="L3" s="146"/>
      <c r="M3" s="146"/>
      <c r="N3" s="146"/>
      <c r="O3" s="146"/>
      <c r="P3" s="146"/>
      <c r="Q3" s="147"/>
    </row>
    <row r="4" spans="1:18" ht="15.75" thickBot="1">
      <c r="C4" s="132" t="s">
        <v>68</v>
      </c>
      <c r="D4" s="133"/>
      <c r="E4" s="133"/>
      <c r="F4" s="133"/>
      <c r="G4" s="134"/>
      <c r="H4" s="135" t="s">
        <v>69</v>
      </c>
      <c r="I4" s="136"/>
      <c r="J4" s="136"/>
      <c r="K4" s="136"/>
      <c r="L4" s="137"/>
      <c r="M4" s="138" t="s">
        <v>70</v>
      </c>
      <c r="N4" s="136"/>
      <c r="O4" s="136"/>
      <c r="P4" s="136"/>
      <c r="Q4" s="137"/>
    </row>
    <row r="5" spans="1:18">
      <c r="A5" s="7" t="s">
        <v>48</v>
      </c>
      <c r="B5" s="130" t="s">
        <v>51</v>
      </c>
      <c r="C5" s="9" t="s">
        <v>93</v>
      </c>
      <c r="D5" s="20" t="s">
        <v>52</v>
      </c>
      <c r="E5" s="20" t="s">
        <v>54</v>
      </c>
      <c r="F5" s="20" t="s">
        <v>55</v>
      </c>
      <c r="G5" s="20" t="s">
        <v>56</v>
      </c>
      <c r="H5" s="20" t="s">
        <v>59</v>
      </c>
      <c r="I5" s="20" t="s">
        <v>61</v>
      </c>
      <c r="J5" s="20" t="s">
        <v>54</v>
      </c>
      <c r="K5" s="20" t="s">
        <v>55</v>
      </c>
      <c r="L5" s="20" t="s">
        <v>56</v>
      </c>
      <c r="M5" s="20" t="s">
        <v>52</v>
      </c>
      <c r="N5" s="20" t="s">
        <v>64</v>
      </c>
      <c r="O5" s="20" t="s">
        <v>54</v>
      </c>
      <c r="P5" s="20" t="s">
        <v>55</v>
      </c>
      <c r="Q5" s="23" t="s">
        <v>56</v>
      </c>
    </row>
    <row r="6" spans="1:18" ht="16.5" thickBot="1">
      <c r="A6" s="8" t="s">
        <v>49</v>
      </c>
      <c r="B6" s="131"/>
      <c r="C6" s="10" t="s">
        <v>50</v>
      </c>
      <c r="D6" s="21" t="s">
        <v>53</v>
      </c>
      <c r="E6" s="22" t="s">
        <v>58</v>
      </c>
      <c r="F6" s="22" t="s">
        <v>72</v>
      </c>
      <c r="G6" s="21" t="s">
        <v>57</v>
      </c>
      <c r="H6" s="21" t="s">
        <v>60</v>
      </c>
      <c r="I6" s="21" t="s">
        <v>62</v>
      </c>
      <c r="J6" s="21" t="s">
        <v>71</v>
      </c>
      <c r="K6" s="21" t="s">
        <v>73</v>
      </c>
      <c r="L6" s="21" t="s">
        <v>63</v>
      </c>
      <c r="M6" s="21" t="s">
        <v>65</v>
      </c>
      <c r="N6" s="21" t="s">
        <v>66</v>
      </c>
      <c r="O6" s="21" t="s">
        <v>74</v>
      </c>
      <c r="P6" s="21" t="s">
        <v>75</v>
      </c>
      <c r="Q6" s="24" t="s">
        <v>67</v>
      </c>
      <c r="R6" s="84"/>
    </row>
    <row r="7" spans="1:18" ht="15.75" thickBot="1">
      <c r="A7" s="11">
        <f>INPUT!B9</f>
        <v>5000</v>
      </c>
      <c r="B7" s="15" t="str">
        <f>IF(A7&gt;=INPUT!$B$18,"Unsaturated","Saturated")</f>
        <v>Unsaturated</v>
      </c>
      <c r="C7" s="12">
        <f>_xlfn.IFS(CORET!$A$1=1,RSGLASO(INPUT!$B$16,INPUT!$B$11,INPUT!$B$7,B7,TABEL!A7,INPUT!$B$18),CORET!$A$1=2,RSSTANDING(A7,INPUT!$B$16,INPUT!$B$7,INPUT!$B$11,B7,INPUT!$B$18),CORET!$A$1=3,RSVASCUESS(INPUT!$E$20,A7,INPUT!$B$16,INPUT!$B$7,INPUT!$E$18,INPUT!$E$19,B7,INPUT!$B$18),CORET!$A$1=4,RSLASATER(A7,INPUT!$B$16,INPUT!$B$7,INPUT!$B$11,INPUT!$B$18,B7),CORET!$A$1=5,RSFARSHAD(TABEL!A7,INPUT!$B$18,INPUT!$B$16,INPUT!$B$7,INPUT!$B$11,B7),CORET!$A$1=6,RSKARTO(INPUT!$E$18,INPUT!$E$19,INPUT!$B$16,INPUT!$E$20,A7,INPUT!$B$18,INPUT!$B$7,B7),CORET!$A$1=7,RSMARHOUN(INPUT!$B$11,INPUT!$B$16,INPUT!$B$7,A7,INPUT!$B$18,B7),CORET!$A$1=8,RSHANAFY(A7,INPUT!$B$18,B7),CORET!$A$1=9,RSVELARDE(A7,INPUT!$B$18,INPUT!$B$11,INPUT!$B$16,INPUT!$B$7,B7),CORET!$A$1=10,RSFARSHAD(TABEL!A7,INPUT!$B$18,INPUT!$B$16,INPUT!$B$7,INPUT!$B$11,TABEL!B7))</f>
        <v>8.771124584531691</v>
      </c>
      <c r="D7" s="12">
        <f>_xlfn.IFS(CORET!$G$1=1,standingBO(INPUT!$B$7,INPUT!$B$11,INPUT!$B$16,G7,B7,TABEL!A7,INPUT!$B$18),CORET!$G$1=2,VasquezzBO(INPUT!$B$7,INPUT!$E$20,INPUT!$B$11,INPUT!$B$16,TABEL!G7,TABEL!B7,TABEL!A7,INPUT!$B$18,INPUT!$E$19,INPUT!$E$18),CORET!$G$1=3,GlasoBo(INPUT!$B$11,INPUT!$B$16,INPUT!$B$7,TABEL!A7,B7,INPUT!$B$18,G7),CORET!$G$1=4,FarshadBo(INPUT!$B$11,INPUT!$B$16,INPUT!$B$7,TABEL!A7,INPUT!$B$18,TABEL!G7,TABEL!B7),CORET!$G$1=5,LeblancBo(G7,TABEL!A7,INPUT!$B$18,INPUT!$B$16,INPUT!$B$7,INPUT!$B$11,TABEL!B7),CORET!$G$1=6,MarhounBo(G7,INPUT!$B$11,INPUT!$B$16,INPUT!$B$7,TABEL!A7,INPUT!$B$18,TABEL!B7),CORET!$G$1=7,KartoBo(G7,INPUT!$E$18,INPUT!$E$19,INPUT!$B$16,INPUT!$E$20,TABEL!A7,INPUT!$B$18,INPUT!$B$7,TABEL!B7),CORET!$G$1=8,AlmaedhaidebBo(G7,INPUT!$E$20,TABEL!A7,INPUT!$B$16,INPUT!$B$7,INPUT!$E$18,INPUT!$E$19,TABEL!B7,INPUT!$B$18),CORET!$G$1=9,AlshammasiBo(G7,INPUT!$B$11,INPUT!$E$20,TABEL!A7,INPUT!$B$16,INPUT!$B$7,INPUT!$E$18,INPUT!$E$19,TABEL!B7,INPUT!$B$18),CORET!$G$1=10,SharkawyBo(G7,INPUT!$B$11,INPUT!$E$20,TABEL!A7,INPUT!$B$16,INPUT!$B$7,INPUT!$E$18,INPUT!$E$19,TABEL!B7,INPUT!$B$18),CORET!$G$1=11,OsmanBo(G7,INPUT!$B$11,INPUT!$E$20,TABEL!A7,INPUT!$B$16,INPUT!$B$7,INPUT!$E$18,INPUT!$E$19,TABEL!B7,INPUT!$B$18),CORET!$G$1=12,HanafyBo(G7,TABEL!A7,INPUT!$B$18,B7))</f>
        <v>1.0147505382038522</v>
      </c>
      <c r="E7" s="12">
        <f>_xlfn.IFS(CORET!$H$1=1,oildensstandard(INPUT!$B$16,C7,INPUT!$B$11,D7,G7,B7),CORET!$H$1=2,oildenshanafy(INPUT!$B$16,INPUT!$B$11,G7,TABEL!A7,INPUT!$B$18,TABEL!B7),CORET!$H$1=3,oildensstanding(INPUT!$B$16,INPUT!$E$20,INPUT!$B$11,TABEL!A7,INPUT!$B$18,TABEL!B7,G7),CORET!$H$1=4,oildensbalance(INPUT!$B$16,INPUT!$B$11,INPUT!$B$18,C7,G7,A7,INPUT!$B$7,D7,B7))</f>
        <v>47.391638228142554</v>
      </c>
      <c r="F7" s="12">
        <f>_xlfn.IFS(CORET!$I$1=1,OilVisBeggs(INPUT!$B$16,INPUT!$B$7,INPUT!$E$20,INPUT!$E$18,INPUT!$E$19,TABEL!B7,TABEL!A7,INPUT!$B$18),CORET!$I$1=2,OilVisBeal(INPUT!$B$16,INPUT!$B$7,INPUT!$E$20,INPUT!$E$18,INPUT!$E$19,TABEL!B7,TABEL!A7,INPUT!$B$18),CORET!$I$1=3,OilVisEgbogah(INPUT!$E$20,TABEL!A7,INPUT!$B$16,INPUT!$B$7,INPUT!$E$18,INPUT!$E$19,TABEL!B7,INPUT!$B$18),CORET!$I$1=4,OilVisPetro(INPUT!$E$20,TABEL!A7,INPUT!$B$16,INPUT!$B$7,INPUT!$E$18,INPUT!$E$19,B7,INPUT!$B$18),CORET!$I$1=5,OilVisMarhoun(INPUT!$B$11,INPUT!$B$16,INPUT!$B$7,TABEL!A7,INPUT!$B$18,TABEL!B7),CORET!$I$1=6,OilVisAlmae(INPUT!$E$20,INPUT!$B$11,TABEL!A7,INPUT!$B$16,INPUT!$B$7,INPUT!$E$18,INPUT!$E$19,B7,INPUT!$B$18),CORET!$I$1=7,OilVisKhan(INPUT!$E$20,INPUT!$B$11,TABEL!A7,INPUT!$B$16,INPUT!$B$7,INPUT!$E$18,INPUT!$E$19,TABEL!B7,INPUT!$B$18),CORET!$I$1=8,OilVisHanafy(INPUT!$B$16,INPUT!$E$20,INPUT!$B$11,TABEL!A7,INPUT!$B$18,TABEL!B7,G7))</f>
        <v>13.152478863437386</v>
      </c>
      <c r="G7" s="12">
        <f>_xlfn.IFS(CORET!$F$1=1,CoVaquezz(INPUT!$E$20,TABEL!A7,INPUT!$B$16,INPUT!$B$7,INPUT!$E$18,INPUT!$E$19,TABEL!B7,INPUT!$B$18,INPUT!$B$11),CORET!$F$1=2,CoPetrosky(INPUT!$B$11,TABEL!A7,INPUT!$B$16,INPUT!$B$7,TABEL!B7,INPUT!$B$18),CORET!$F$1=3,CoFarshad(INPUT!$E$20,INPUT!$B$11,TABEL!A7,INPUT!$B$16,INPUT!$B$7,INPUT!$E$18,INPUT!$E$19,TABEL!B7,INPUT!$B$18),CORET!$F$1=4,CoAlmehaideb(INPUT!$E$20,TABEL!A7,INPUT!$B$16,INPUT!$B$7,INPUT!$E$18,INPUT!$E$19,TABEL!B7,INPUT!$B$18),CORET!$F$1=5,CoSharkawy(INPUT!$E$20,TABEL!A7,INPUT!$B$16,INPUT!$B$7,INPUT!$E$18,INPUT!$E$19,TABEL!B7,INPUT!$B$18),CORET!$F$1=6,CoKarto(INPUT!$E$20,TABEL!A7,INPUT!$B$16,INPUT!$B$7,INPUT!$E$18,INPUT!$E$19,TABEL!B7,INPUT!$B$18),CORET!$F$1=7,CoAhmed(INPUT!$E$20,TABEL!A7,INPUT!$B$16,INPUT!$B$7,INPUT!$E$18,INPUT!$E$19,TABEL!B7,INPUT!$B$18),CORET!$F$1=8,CoDindoruk(INPUT!$E$20,INPUT!$B$11,TABEL!A7,INPUT!$B$16,INPUT!$B$7,INPUT!$E$18,INPUT!$E$19,B7,INPUT!$B$18),CORET!$F$1=9,CoMcCain(INPUT!$E$20,TABEL!A7,INPUT!$B$16,INPUT!$B$7,INPUT!$E$18,INPUT!$E$19,B7,INPUT!$B$18),CORET!$F$1=10,CoMarhoun(INPUT!$E$20,INPUT!$B$11,TABEL!A7,INPUT!$B$16,INPUT!$B$7,B7,INPUT!$B$18),CORET!$F$1=11,CoCalhoun(INPUT!$E$20,INPUT!$B$11,TABEL!A7,INPUT!$B$16,INPUT!$B$7,INPUT!$E$18,INPUT!$E$19,TABEL!B7,INPUT!$B$18),CORET!$F$1=12,CoLabedi(INPUT!$E$20,INPUT!$B$11,TABEL!A7,INPUT!$B$16,INPUT!$B$7,TABEL!B7,INPUT!$B$18),CORET!$F$1=13,CoDegetto(INPUT!$E$20,INPUT!$B$11,TABEL!A7,INPUT!$B$16,INPUT!$B$7,INPUT!$E$18,INPUT!$E$19,TABEL!B7,INPUT!$B$18))</f>
        <v>5.4613888968093674E-6</v>
      </c>
      <c r="H7" s="12">
        <f>Bggeneral(INPUT!$B$10,TABEL!A7,INPUT!$B$8,INPUT!$B$7,I7)</f>
        <v>6.5462745195727862E-3</v>
      </c>
      <c r="I7" s="12">
        <f>_xlfn.IFS(CORET!$E$1=1,ZAbouKassem(A7/OUTPUT!$B$17,(INPUT!$B$7+459.67)/(OUTPUT!$B$16+459.67),150,10^-12),CORET!$E$1=2,ZBeggsbrill(INPUT!$B$7+459.67,TABEL!A7,OUTPUT!$B$16+459.67,OUTPUT!$B$17),CORET!$E$1=3,hall(TABEL!A7,INPUT!$B$7+459.67,OUTPUT!$B$16+459.67,OUTPUT!$B$17),CORET!$E$1=4,zpapay(INPUT!$B$7+459.67,TABEL!A7,OUTPUT!$B$16+459.67,OUTPUT!$B$17))</f>
        <v>0.96596187638754094</v>
      </c>
      <c r="J7" s="12">
        <f>gasdensgeneral(A7,I7,INPUT!$B$7)</f>
        <v>23.45090852355456</v>
      </c>
      <c r="K7" s="12">
        <f>_xlfn.IFS(CORET!$J$1=1,ViscGas(TABEL!A7,INPUT!$B$7,INPUT!$B$11,TABEL!I7),CORET!$J$1=2,ViscCarr(TABEL!A7,INPUT!$B$7,INPUT!$B$11,OUTPUT!$B$17,OUTPUT!$B$16,INPUT!$E$15,INPUT!$E$14,INPUT!$E$13),CORET!$J$1=3,VisJossi(TABEL!A7,OUTPUT!$B$17,INPUT!$B$7,OUTPUT!$B$16,I7,INPUT!$B$11),CORET!$J$1=4,VisDean(TABEL!A7,OUTPUT!$B$17,INPUT!$B$7,OUTPUT!$B$16,I7,INPUT!$B$11),CORET!$J$1=5,VisLucas(TABEL!A7,OUTPUT!$B$17,INPUT!$B$7,OUTPUT!$B$16,INPUT!$B$11),CORET!$J$1=6,VisLondono(TABEL!A7,I7,INPUT!$B$7,INPUT!$B$11),CORET!$J$1=7,VisSutton(TABEL!A7,I7,INPUT!$B$7,OUTPUT!$B$16,INPUT!$B$11,OUTPUT!$B$17))</f>
        <v>2.9291133826101309E-2</v>
      </c>
      <c r="L7" s="12">
        <f>_xlfn.IFS(CORET!$K$1=1,CgHall(TABEL!A7,INPUT!$B$7,OUTPUT!$B$16,OUTPUT!$B$17,TABEL!I7),CORET!$K$1=2,CgDranchuk(TABEL!A7,INPUT!$B$7,OUTPUT!$B$16,OUTPUT!$B$17,TABEL!I7))</f>
        <v>7.7157796094523128E-5</v>
      </c>
      <c r="M7" s="12">
        <f>_xlfn.IFS(CORET!$M$1=1,BWMeehan(TABEL!A7,INPUT!$B$7,CORET!$E$18,INPUT!$E$8),CORET!$M$1=2,BWMCain(TABEL!A7,INPUT!$B$7,TABEL!I7,B7,INPUT!$E$7,INPUT!$B$18,INPUT!$B$10,INPUT!$B$8))</f>
        <v>0.95172095069667906</v>
      </c>
      <c r="N7" s="12">
        <f>RswMcCain(TABEL!A7,INPUT!$B$7,INPUT!$E$7)</f>
        <v>22.234014608550403</v>
      </c>
      <c r="O7" s="12">
        <f>Density_Brine(TABEL!A7,INPUT!$B$7,INPUT!$B$18,B7,INPUT!$E$7,TABEL!Q7,INPUT!$E$8)</f>
        <v>65.531813662760456</v>
      </c>
      <c r="P7" s="12">
        <f>_xlfn.IFS(CORET!$L$1=1,ViscBrine(TABEL!A7,INPUT!$B$7,INPUT!$E$7),CORET!$L$1=2,ViscMeehan(TABEL!A7,INPUT!$B$7,INPUT!$E$8),CORET!$L$1=3,ViscKestin(TABEL!A7,INPUT!$B$7,INPUT!$E$7))</f>
        <v>0.49030019732658531</v>
      </c>
      <c r="Q7" s="25">
        <f>_xlfn.IFS(CORET!$N$1=1,CWaterMeehan(TABEL!A7,INPUT!$B$7,CORET!E18,INPUT!$E$8,N7),CORET!$N$1=2,CWater(TABEL!A7,INPUT!$B$7,I7,B7,INPUT!$E$7,INPUT!$B$18,INPUT!$B$10,INPUT!$B$8))</f>
        <v>2.7019632652052613E-5</v>
      </c>
    </row>
    <row r="8" spans="1:18" ht="15.75" thickBot="1">
      <c r="A8" s="13">
        <v>4000</v>
      </c>
      <c r="B8" s="17" t="str">
        <f>IF(A8&gt;=INPUT!$B$18,"Unsaturated","Saturated")</f>
        <v>Unsaturated</v>
      </c>
      <c r="C8" s="14">
        <f>_xlfn.IFS(CORET!$A$1=1,RSGLASO(INPUT!$B$16,INPUT!$B$11,INPUT!$B$7,B8,TABEL!A8,INPUT!$B$18),CORET!$A$1=2,RSSTANDING(A8,INPUT!$B$16,INPUT!$B$7,INPUT!$B$11,B8,INPUT!$B$18),CORET!$A$1=3,RSVASCUESS(INPUT!$E$20,A8,INPUT!$B$16,INPUT!$B$7,INPUT!$E$18,INPUT!$E$19,B8,INPUT!$B$18),CORET!$A$1=4,RSLASATER(A8,INPUT!$B$16,INPUT!$B$7,INPUT!$B$11,INPUT!$B$18,B8),CORET!$A$1=5,RSFARSHAD(TABEL!A8,INPUT!$B$18,INPUT!$B$16,INPUT!$B$7,INPUT!$B$11,B8),CORET!$A$1=6,RSKARTO(INPUT!$E$18,INPUT!$E$19,INPUT!$B$16,INPUT!$E$20,A8,INPUT!$B$18,INPUT!$B$7,B8),CORET!$A$1=7,RSMARHOUN(INPUT!$B$11,INPUT!$B$16,INPUT!$B$7,A8,INPUT!$B$18,B8),CORET!$A$1=8,RSHANAFY(A8,INPUT!$B$18,B8),CORET!$A$1=9,RSVELARDE(A8,INPUT!$B$18,INPUT!$B$11,INPUT!$B$16,INPUT!$B$7,B8),CORET!$A$1=10,RSFARSHAD(TABEL!A8,INPUT!$B$18,INPUT!$B$16,INPUT!$B$7,INPUT!$B$11,TABEL!B8))</f>
        <v>8.771124584531691</v>
      </c>
      <c r="D8" s="14">
        <f>_xlfn.IFS(CORET!$G$1=1,standingBO(INPUT!$B$7,INPUT!$B$11,INPUT!$B$16,G8,B8,TABEL!A8,INPUT!$B$18),CORET!$G$1=2,VasquezzBO(INPUT!$B$7,INPUT!$E$20,INPUT!$B$11,INPUT!$B$16,TABEL!G8,TABEL!B8,TABEL!A8,INPUT!$B$18,INPUT!$E$19,INPUT!$E$18),CORET!$G$1=3,GlasoBo(INPUT!$B$11,INPUT!$B$16,INPUT!$B$7,TABEL!A8,B8,INPUT!$B$18,G8),CORET!$G$1=4,FarshadBo(INPUT!$B$11,INPUT!$B$16,INPUT!$B$7,TABEL!A8,INPUT!$B$18,TABEL!G8,TABEL!B8),CORET!$G$1=5,LeblancBo(G8,TABEL!A8,INPUT!$B$18,INPUT!$B$16,INPUT!$B$7,INPUT!$B$11,TABEL!B8),CORET!$G$1=6,MarhounBo(G8,INPUT!$B$11,INPUT!$B$16,INPUT!$B$7,TABEL!A8,INPUT!$B$18,TABEL!B8),CORET!$G$1=7,KartoBo(G8,INPUT!$E$18,INPUT!$E$19,INPUT!$B$16,INPUT!$E$20,TABEL!A8,INPUT!$B$18,INPUT!$B$7,TABEL!B8),CORET!$G$1=8,AlmaedhaidebBo(G8,INPUT!$E$20,TABEL!A8,INPUT!$B$16,INPUT!$B$7,INPUT!$E$18,INPUT!$E$19,TABEL!B8,INPUT!$B$18),CORET!$G$1=9,AlshammasiBo(G8,INPUT!$B$11,INPUT!$E$20,TABEL!A8,INPUT!$B$16,INPUT!$B$7,INPUT!$E$18,INPUT!$E$19,TABEL!B8,INPUT!$B$18),CORET!$G$1=10,SharkawyBo(G8,INPUT!$B$11,INPUT!$E$20,TABEL!A8,INPUT!$B$16,INPUT!$B$7,INPUT!$E$18,INPUT!$E$19,TABEL!B8,INPUT!$B$18),CORET!$G$1=11,OsmanBo(G8,INPUT!$B$11,INPUT!$E$20,TABEL!A8,INPUT!$B$16,INPUT!$B$7,INPUT!$E$18,INPUT!$E$19,TABEL!B8,INPUT!$B$18),CORET!$G$1=12,HanafyBo(G8,TABEL!A8,INPUT!$B$18,B8))</f>
        <v>1.0149274746831292</v>
      </c>
      <c r="E8" s="14">
        <f>_xlfn.IFS(CORET!$H$1=1,oildensstandard(INPUT!$B$16,C8,INPUT!$B$11,D8,G8,B8),CORET!$H$1=2,oildenshanafy(INPUT!$B$16,INPUT!$B$11,G8,TABEL!A8,INPUT!$B$18,TABEL!B8),CORET!$H$1=3,oildensstanding(INPUT!$B$16,INPUT!$E$20,INPUT!$B$11,TABEL!A8,INPUT!$B$18,TABEL!B8,G8),CORET!$H$1=4,oildensbalance(INPUT!$B$16,INPUT!$B$11,INPUT!$B$18,C8,G8,A8,INPUT!$B$7,D8,B8))</f>
        <v>47.231425664141277</v>
      </c>
      <c r="F8" s="14">
        <f>_xlfn.IFS(CORET!$I$1=1,OilVisBeggs(INPUT!$B$16,INPUT!$B$7,INPUT!$E$20,INPUT!$E$18,INPUT!$E$19,TABEL!B8,TABEL!A8,INPUT!$B$18),CORET!$I$1=2,OilVisBeal(INPUT!$B$16,INPUT!$B$7,INPUT!$E$20,INPUT!$E$18,INPUT!$E$19,TABEL!B8,TABEL!A8,INPUT!$B$18),CORET!$I$1=3,OilVisEgbogah(INPUT!$E$20,TABEL!A8,INPUT!$B$16,INPUT!$B$7,INPUT!$E$18,INPUT!$E$19,TABEL!B8,INPUT!$B$18),CORET!$I$1=4,OilVisPetro(INPUT!$E$20,TABEL!A8,INPUT!$B$16,INPUT!$B$7,INPUT!$E$18,INPUT!$E$19,B8,INPUT!$B$18),CORET!$I$1=5,OilVisMarhoun(INPUT!$B$11,INPUT!$B$16,INPUT!$B$7,TABEL!A8,INPUT!$B$18,TABEL!B8),CORET!$I$1=6,OilVisAlmae(INPUT!$E$20,INPUT!$B$11,TABEL!A8,INPUT!$B$16,INPUT!$B$7,INPUT!$E$18,INPUT!$E$19,B8,INPUT!$B$18),CORET!$I$1=7,OilVisKhan(INPUT!$E$20,INPUT!$B$11,TABEL!A8,INPUT!$B$16,INPUT!$B$7,INPUT!$E$18,INPUT!$E$19,TABEL!B8,INPUT!$B$18),CORET!$I$1=8,OilVisHanafy(INPUT!$B$16,INPUT!$E$20,INPUT!$B$11,TABEL!A8,INPUT!$B$18,TABEL!B8,G8))</f>
        <v>11.948553769537099</v>
      </c>
      <c r="G8" s="14">
        <f>_xlfn.IFS(CORET!$F$1=1,CoVaquezz(INPUT!$E$20,TABEL!A8,INPUT!$B$16,INPUT!$B$7,INPUT!$E$18,INPUT!$E$19,TABEL!B8,INPUT!$B$18,INPUT!$B$11),CORET!$F$1=2,CoPetrosky(INPUT!$B$11,TABEL!A8,INPUT!$B$16,INPUT!$B$7,TABEL!B8,INPUT!$B$18),CORET!$F$1=3,CoFarshad(INPUT!$E$20,INPUT!$B$11,TABEL!A8,INPUT!$B$16,INPUT!$B$7,INPUT!$E$18,INPUT!$E$19,TABEL!B8,INPUT!$B$18),CORET!$F$1=4,CoAlmehaideb(INPUT!$E$20,TABEL!A8,INPUT!$B$16,INPUT!$B$7,INPUT!$E$18,INPUT!$E$19,TABEL!B8,INPUT!$B$18),CORET!$F$1=5,CoSharkawy(INPUT!$E$20,TABEL!A8,INPUT!$B$16,INPUT!$B$7,INPUT!$E$18,INPUT!$E$19,TABEL!B8,INPUT!$B$18),CORET!$F$1=6,CoKarto(INPUT!$E$20,TABEL!A8,INPUT!$B$16,INPUT!$B$7,INPUT!$E$18,INPUT!$E$19,TABEL!B8,INPUT!$B$18),CORET!$F$1=7,CoAhmed(INPUT!$E$20,TABEL!A8,INPUT!$B$16,INPUT!$B$7,INPUT!$E$18,INPUT!$E$19,TABEL!B8,INPUT!$B$18),CORET!$F$1=8,CoDindoruk(INPUT!$E$20,INPUT!$B$11,TABEL!A8,INPUT!$B$16,INPUT!$B$7,INPUT!$E$18,INPUT!$E$19,B8,INPUT!$B$18),CORET!$F$1=9,CoMcCain(INPUT!$E$20,TABEL!A8,INPUT!$B$16,INPUT!$B$7,INPUT!$E$18,INPUT!$E$19,B8,INPUT!$B$18),CORET!$F$1=10,CoMarhoun(INPUT!$E$20,INPUT!$B$11,TABEL!A8,INPUT!$B$16,INPUT!$B$7,B8,INPUT!$B$18),CORET!$F$1=11,CoCalhoun(INPUT!$E$20,INPUT!$B$11,TABEL!A8,INPUT!$B$16,INPUT!$B$7,INPUT!$E$18,INPUT!$E$19,TABEL!B8,INPUT!$B$18),CORET!$F$1=12,CoLabedi(INPUT!$E$20,INPUT!$B$11,TABEL!A8,INPUT!$B$16,INPUT!$B$7,TABEL!B8,INPUT!$B$18),CORET!$F$1=13,CoDegetto(INPUT!$E$20,INPUT!$B$11,TABEL!A8,INPUT!$B$16,INPUT!$B$7,INPUT!$E$18,INPUT!$E$19,TABEL!B8,INPUT!$B$18))</f>
        <v>6.8267361210117088E-6</v>
      </c>
      <c r="H8" s="14">
        <f>Bggeneral(INPUT!$B$10,TABEL!A8,INPUT!$B$8,INPUT!$B$7,I8)</f>
        <v>7.4122798560096693E-3</v>
      </c>
      <c r="I8" s="14">
        <f>_xlfn.IFS(CORET!$E$1=1,ZAbouKassem(A8/OUTPUT!$B$17,(INPUT!$B$7+459.67)/(OUTPUT!$B$16+459.67),150,10^-12),CORET!$E$1=2,ZBeggsbrill(INPUT!$B$7+459.67,TABEL!A8,OUTPUT!$B$16+459.67,OUTPUT!$B$17),CORET!$E$1=3,hall(TABEL!A8,INPUT!$B$7+459.67,OUTPUT!$B$16+459.67,OUTPUT!$B$17),CORET!$E$1=4,zpapay(INPUT!$B$7+459.67,TABEL!A8,OUTPUT!$B$16+459.67,OUTPUT!$B$17))</f>
        <v>0.87499902261818829</v>
      </c>
      <c r="J8" s="14">
        <f>gasdensgeneral(A8,I8,INPUT!$B$7)</f>
        <v>20.711048140486884</v>
      </c>
      <c r="K8" s="14">
        <f>_xlfn.IFS(CORET!$J$1=1,ViscGas(TABEL!A8,INPUT!$B$7,INPUT!$B$11,TABEL!I8),CORET!$J$1=2,ViscCarr(TABEL!A8,INPUT!$B$7,INPUT!$B$11,OUTPUT!$B$17,OUTPUT!$B$16,INPUT!$E$15,INPUT!$E$14,INPUT!$E$13),CORET!$J$1=3,VisJossi(TABEL!A8,OUTPUT!$B$17,INPUT!$B$7,OUTPUT!$B$16,I8,INPUT!$B$11),CORET!$J$1=4,VisDean(TABEL!A8,OUTPUT!$B$17,INPUT!$B$7,OUTPUT!$B$16,I8,INPUT!$B$11),CORET!$J$1=5,VisLucas(TABEL!A8,OUTPUT!$B$17,INPUT!$B$7,OUTPUT!$B$16,INPUT!$B$11),CORET!$J$1=6,VisLondono(TABEL!A8,I8,INPUT!$B$7,INPUT!$B$11),CORET!$J$1=7,VisSutton(TABEL!A8,I8,INPUT!$B$7,OUTPUT!$B$16,INPUT!$B$11,OUTPUT!$B$17))</f>
        <v>2.5279397705906998E-2</v>
      </c>
      <c r="L8" s="14">
        <f>_xlfn.IFS(CORET!$K$1=1,CgHall(TABEL!A8,INPUT!$B$7,OUTPUT!$B$16,OUTPUT!$B$17,TABEL!I8),CORET!$K$1=2,CgDranchuk(TABEL!A8,INPUT!$B$7,OUTPUT!$B$16,OUTPUT!$B$17,TABEL!I8))</f>
        <v>1.1890325088197453E-4</v>
      </c>
      <c r="M8" s="12">
        <f>_xlfn.IFS(CORET!$M$1=1,BWMeehan(TABEL!A8,INPUT!$B$7,CORET!$E$18,INPUT!$E$8),CORET!$M$1=2,BWMCain(TABEL!A8,INPUT!$B$7,TABEL!I8,B8,INPUT!$E$7,INPUT!$B$18,INPUT!$B$10,INPUT!$B$8))</f>
        <v>0.95930007467348222</v>
      </c>
      <c r="N8" s="14">
        <f>RswMcCain(TABEL!A8,INPUT!$B$7,INPUT!$E$7)</f>
        <v>19.161381412627456</v>
      </c>
      <c r="O8" s="14">
        <f>Density_Brine(TABEL!A8,INPUT!$B$7,INPUT!$B$18,B8,INPUT!$E$7,TABEL!Q8,INPUT!$E$8)</f>
        <v>65.014067700587063</v>
      </c>
      <c r="P8" s="14">
        <f>_xlfn.IFS(CORET!$L$1=1,ViscBrine(TABEL!A8,INPUT!$B$7,INPUT!$E$7),CORET!$L$1=2,ViscMeehan(TABEL!A8,INPUT!$B$7,INPUT!$E$8),CORET!$L$1=3,ViscKestin(TABEL!A8,INPUT!$B$7,INPUT!$E$7))</f>
        <v>0.48884215257887392</v>
      </c>
      <c r="Q8" s="77">
        <f>_xlfn.IFS(CORET!$N$1=1,CWaterMeehan(TABEL!A8,INPUT!$B$7,CORET!E19,INPUT!$E$8,N8),CORET!$N$1=2,CWater(TABEL!A8,INPUT!$B$7,I8,B8,INPUT!$E$7,INPUT!$B$18,INPUT!$B$10,INPUT!$B$8))</f>
        <v>2.7858406261408778E-5</v>
      </c>
    </row>
    <row r="9" spans="1:18" ht="15.75" thickBot="1">
      <c r="A9" s="13">
        <v>3000</v>
      </c>
      <c r="B9" s="17" t="str">
        <f>IF(A9&gt;=INPUT!$B$18,"Unsaturated","Saturated")</f>
        <v>Unsaturated</v>
      </c>
      <c r="C9" s="14">
        <f>_xlfn.IFS(CORET!$A$1=1,RSGLASO(INPUT!$B$16,INPUT!$B$11,INPUT!$B$7,B9,TABEL!A9,INPUT!$B$18),CORET!$A$1=2,RSSTANDING(A9,INPUT!$B$16,INPUT!$B$7,INPUT!$B$11,B9,INPUT!$B$18),CORET!$A$1=3,RSVASCUESS(INPUT!$E$20,A9,INPUT!$B$16,INPUT!$B$7,INPUT!$E$18,INPUT!$E$19,B9,INPUT!$B$18),CORET!$A$1=4,RSLASATER(A9,INPUT!$B$16,INPUT!$B$7,INPUT!$B$11,INPUT!$B$18,B9),CORET!$A$1=5,RSFARSHAD(TABEL!A9,INPUT!$B$18,INPUT!$B$16,INPUT!$B$7,INPUT!$B$11,B9),CORET!$A$1=6,RSKARTO(INPUT!$E$18,INPUT!$E$19,INPUT!$B$16,INPUT!$E$20,A9,INPUT!$B$18,INPUT!$B$7,B9),CORET!$A$1=7,RSMARHOUN(INPUT!$B$11,INPUT!$B$16,INPUT!$B$7,A9,INPUT!$B$18,B9),CORET!$A$1=8,RSHANAFY(A9,INPUT!$B$18,B9),CORET!$A$1=9,RSVELARDE(A9,INPUT!$B$18,INPUT!$B$11,INPUT!$B$16,INPUT!$B$7,B9),CORET!$A$1=10,RSFARSHAD(TABEL!A9,INPUT!$B$18,INPUT!$B$16,INPUT!$B$7,INPUT!$B$11,TABEL!B9))</f>
        <v>8.771124584531691</v>
      </c>
      <c r="D9" s="14">
        <f>_xlfn.IFS(CORET!$G$1=1,standingBO(INPUT!$B$7,INPUT!$B$11,INPUT!$B$16,G9,B9,TABEL!A9,INPUT!$B$18),CORET!$G$1=2,VasquezzBO(INPUT!$B$7,INPUT!$E$20,INPUT!$B$11,INPUT!$B$16,TABEL!G9,TABEL!B9,TABEL!A9,INPUT!$B$18,INPUT!$E$19,INPUT!$E$18),CORET!$G$1=3,GlasoBo(INPUT!$B$11,INPUT!$B$16,INPUT!$B$7,TABEL!A9,B9,INPUT!$B$18,G9),CORET!$G$1=4,FarshadBo(INPUT!$B$11,INPUT!$B$16,INPUT!$B$7,TABEL!A9,INPUT!$B$18,TABEL!G9,TABEL!B9),CORET!$G$1=5,LeblancBo(G9,TABEL!A9,INPUT!$B$18,INPUT!$B$16,INPUT!$B$7,INPUT!$B$11,TABEL!B9),CORET!$G$1=6,MarhounBo(G9,INPUT!$B$11,INPUT!$B$16,INPUT!$B$7,TABEL!A9,INPUT!$B$18,TABEL!B9),CORET!$G$1=7,KartoBo(G9,INPUT!$E$18,INPUT!$E$19,INPUT!$B$16,INPUT!$E$20,TABEL!A9,INPUT!$B$18,INPUT!$B$7,TABEL!B9),CORET!$G$1=8,AlmaedhaidebBo(G9,INPUT!$E$20,TABEL!A9,INPUT!$B$16,INPUT!$B$7,INPUT!$E$18,INPUT!$E$19,TABEL!B9,INPUT!$B$18),CORET!$G$1=9,AlshammasiBo(G9,INPUT!$B$11,INPUT!$E$20,TABEL!A9,INPUT!$B$16,INPUT!$B$7,INPUT!$E$18,INPUT!$E$19,TABEL!B9,INPUT!$B$18),CORET!$G$1=10,SharkawyBo(G9,INPUT!$B$11,INPUT!$E$20,TABEL!A9,INPUT!$B$16,INPUT!$B$7,INPUT!$E$18,INPUT!$E$19,TABEL!B9,INPUT!$B$18),CORET!$G$1=11,OsmanBo(G9,INPUT!$B$11,INPUT!$E$20,TABEL!A9,INPUT!$B$16,INPUT!$B$7,INPUT!$E$18,INPUT!$E$19,TABEL!B9,INPUT!$B$18),CORET!$G$1=12,HanafyBo(G9,TABEL!A9,INPUT!$B$18,B9))</f>
        <v>1.0152224373766747</v>
      </c>
      <c r="E9" s="14">
        <f>_xlfn.IFS(CORET!$H$1=1,oildensstandard(INPUT!$B$16,C9,INPUT!$B$11,D9,G9,B9),CORET!$H$1=2,oildenshanafy(INPUT!$B$16,INPUT!$B$11,G9,TABEL!A9,INPUT!$B$18,TABEL!B9),CORET!$H$1=3,oildensstanding(INPUT!$B$16,INPUT!$E$20,INPUT!$B$11,TABEL!A9,INPUT!$B$18,TABEL!B9,G9),CORET!$H$1=4,oildensbalance(INPUT!$B$16,INPUT!$B$11,INPUT!$B$18,C9,G9,A9,INPUT!$B$7,D9,B9))</f>
        <v>47.048743062276948</v>
      </c>
      <c r="F9" s="14">
        <f>_xlfn.IFS(CORET!$I$1=1,OilVisBeggs(INPUT!$B$16,INPUT!$B$7,INPUT!$E$20,INPUT!$E$18,INPUT!$E$19,TABEL!B9,TABEL!A9,INPUT!$B$18),CORET!$I$1=2,OilVisBeal(INPUT!$B$16,INPUT!$B$7,INPUT!$E$20,INPUT!$E$18,INPUT!$E$19,TABEL!B9,TABEL!A9,INPUT!$B$18),CORET!$I$1=3,OilVisEgbogah(INPUT!$E$20,TABEL!A9,INPUT!$B$16,INPUT!$B$7,INPUT!$E$18,INPUT!$E$19,TABEL!B9,INPUT!$B$18),CORET!$I$1=4,OilVisPetro(INPUT!$E$20,TABEL!A9,INPUT!$B$16,INPUT!$B$7,INPUT!$E$18,INPUT!$E$19,B9,INPUT!$B$18),CORET!$I$1=5,OilVisMarhoun(INPUT!$B$11,INPUT!$B$16,INPUT!$B$7,TABEL!A9,INPUT!$B$18,TABEL!B9),CORET!$I$1=6,OilVisAlmae(INPUT!$E$20,INPUT!$B$11,TABEL!A9,INPUT!$B$16,INPUT!$B$7,INPUT!$E$18,INPUT!$E$19,B9,INPUT!$B$18),CORET!$I$1=7,OilVisKhan(INPUT!$E$20,INPUT!$B$11,TABEL!A9,INPUT!$B$16,INPUT!$B$7,INPUT!$E$18,INPUT!$E$19,TABEL!B9,INPUT!$B$18),CORET!$I$1=8,OilVisHanafy(INPUT!$B$16,INPUT!$E$20,INPUT!$B$11,TABEL!A9,INPUT!$B$18,TABEL!B9,G9))</f>
        <v>10.854831143686551</v>
      </c>
      <c r="G9" s="14">
        <f>_xlfn.IFS(CORET!$F$1=1,CoVaquezz(INPUT!$E$20,TABEL!A9,INPUT!$B$16,INPUT!$B$7,INPUT!$E$18,INPUT!$E$19,TABEL!B9,INPUT!$B$18,INPUT!$B$11),CORET!$F$1=2,CoPetrosky(INPUT!$B$11,TABEL!A9,INPUT!$B$16,INPUT!$B$7,TABEL!B9,INPUT!$B$18),CORET!$F$1=3,CoFarshad(INPUT!$E$20,INPUT!$B$11,TABEL!A9,INPUT!$B$16,INPUT!$B$7,INPUT!$E$18,INPUT!$E$19,TABEL!B9,INPUT!$B$18),CORET!$F$1=4,CoAlmehaideb(INPUT!$E$20,TABEL!A9,INPUT!$B$16,INPUT!$B$7,INPUT!$E$18,INPUT!$E$19,TABEL!B9,INPUT!$B$18),CORET!$F$1=5,CoSharkawy(INPUT!$E$20,TABEL!A9,INPUT!$B$16,INPUT!$B$7,INPUT!$E$18,INPUT!$E$19,TABEL!B9,INPUT!$B$18),CORET!$F$1=6,CoKarto(INPUT!$E$20,TABEL!A9,INPUT!$B$16,INPUT!$B$7,INPUT!$E$18,INPUT!$E$19,TABEL!B9,INPUT!$B$18),CORET!$F$1=7,CoAhmed(INPUT!$E$20,TABEL!A9,INPUT!$B$16,INPUT!$B$7,INPUT!$E$18,INPUT!$E$19,TABEL!B9,INPUT!$B$18),CORET!$F$1=8,CoDindoruk(INPUT!$E$20,INPUT!$B$11,TABEL!A9,INPUT!$B$16,INPUT!$B$7,INPUT!$E$18,INPUT!$E$19,B9,INPUT!$B$18),CORET!$F$1=9,CoMcCain(INPUT!$E$20,TABEL!A9,INPUT!$B$16,INPUT!$B$7,INPUT!$E$18,INPUT!$E$19,B9,INPUT!$B$18),CORET!$F$1=10,CoMarhoun(INPUT!$E$20,INPUT!$B$11,TABEL!A9,INPUT!$B$16,INPUT!$B$7,B9,INPUT!$B$18),CORET!$F$1=11,CoCalhoun(INPUT!$E$20,INPUT!$B$11,TABEL!A9,INPUT!$B$16,INPUT!$B$7,INPUT!$E$18,INPUT!$E$19,TABEL!B9,INPUT!$B$18),CORET!$F$1=12,CoLabedi(INPUT!$E$20,INPUT!$B$11,TABEL!A9,INPUT!$B$16,INPUT!$B$7,TABEL!B9,INPUT!$B$18),CORET!$F$1=13,CoDegetto(INPUT!$E$20,INPUT!$B$11,TABEL!A9,INPUT!$B$16,INPUT!$B$7,INPUT!$E$18,INPUT!$E$19,TABEL!B9,INPUT!$B$18))</f>
        <v>9.1023148280156117E-6</v>
      </c>
      <c r="H9" s="14">
        <f>Bggeneral(INPUT!$B$10,TABEL!A9,INPUT!$B$8,INPUT!$B$7,I9)</f>
        <v>9.123126847473885E-3</v>
      </c>
      <c r="I9" s="14">
        <f>_xlfn.IFS(CORET!$E$1=1,ZAbouKassem(A9/OUTPUT!$B$17,(INPUT!$B$7+459.67)/(OUTPUT!$B$16+459.67),150,10^-12),CORET!$E$1=2,ZBeggsbrill(INPUT!$B$7+459.67,TABEL!A9,OUTPUT!$B$16+459.67,OUTPUT!$B$17),CORET!$E$1=3,hall(TABEL!A9,INPUT!$B$7+459.67,OUTPUT!$B$16+459.67,OUTPUT!$B$17),CORET!$E$1=4,zpapay(INPUT!$B$7+459.67,TABEL!A9,OUTPUT!$B$16+459.67,OUTPUT!$B$17))</f>
        <v>0.80771981392700964</v>
      </c>
      <c r="J9" s="14">
        <f>gasdensgeneral(A9,I9,INPUT!$B$7)</f>
        <v>16.827134763678611</v>
      </c>
      <c r="K9" s="14">
        <f>_xlfn.IFS(CORET!$J$1=1,ViscGas(TABEL!A9,INPUT!$B$7,INPUT!$B$11,TABEL!I9),CORET!$J$1=2,ViscCarr(TABEL!A9,INPUT!$B$7,INPUT!$B$11,OUTPUT!$B$17,OUTPUT!$B$16,INPUT!$E$15,INPUT!$E$14,INPUT!$E$13),CORET!$J$1=3,VisJossi(TABEL!A9,OUTPUT!$B$17,INPUT!$B$7,OUTPUT!$B$16,I9,INPUT!$B$11),CORET!$J$1=4,VisDean(TABEL!A9,OUTPUT!$B$17,INPUT!$B$7,OUTPUT!$B$16,I9,INPUT!$B$11),CORET!$J$1=5,VisLucas(TABEL!A9,OUTPUT!$B$17,INPUT!$B$7,OUTPUT!$B$16,INPUT!$B$11),CORET!$J$1=6,VisLondono(TABEL!A9,I9,INPUT!$B$7,INPUT!$B$11),CORET!$J$1=7,VisSutton(TABEL!A9,I9,INPUT!$B$7,OUTPUT!$B$16,INPUT!$B$11,OUTPUT!$B$17))</f>
        <v>2.1114294946213311E-2</v>
      </c>
      <c r="L9" s="14">
        <f>_xlfn.IFS(CORET!$K$1=1,CgHall(TABEL!A9,INPUT!$B$7,OUTPUT!$B$16,OUTPUT!$B$17,TABEL!I9),CORET!$K$1=2,CgDranchuk(TABEL!A9,INPUT!$B$7,OUTPUT!$B$16,OUTPUT!$B$17,TABEL!I9))</f>
        <v>2.1271178921436533E-4</v>
      </c>
      <c r="M9" s="12">
        <f>_xlfn.IFS(CORET!$M$1=1,BWMeehan(TABEL!A9,INPUT!$B$7,CORET!$E$18,INPUT!$E$8),CORET!$M$1=2,BWMCain(TABEL!A9,INPUT!$B$7,TABEL!I9,B9,INPUT!$E$7,INPUT!$B$18,INPUT!$B$10,INPUT!$B$8))</f>
        <v>0.96816116029492094</v>
      </c>
      <c r="N9" s="14">
        <f>RswMcCain(TABEL!A9,INPUT!$B$7,INPUT!$E$7)</f>
        <v>15.684852154386947</v>
      </c>
      <c r="O9" s="14">
        <f>Density_Brine(TABEL!A9,INPUT!$B$7,INPUT!$B$18,B9,INPUT!$E$7,TABEL!Q9,INPUT!$E$8)</f>
        <v>64.419027077063788</v>
      </c>
      <c r="P9" s="14">
        <f>_xlfn.IFS(CORET!$L$1=1,ViscBrine(TABEL!A9,INPUT!$B$7,INPUT!$E$7),CORET!$L$1=2,ViscMeehan(TABEL!A9,INPUT!$B$7,INPUT!$E$8),CORET!$L$1=3,ViscKestin(TABEL!A9,INPUT!$B$7,INPUT!$E$7))</f>
        <v>0.48738410783116259</v>
      </c>
      <c r="Q9" s="77">
        <f>_xlfn.IFS(CORET!$N$1=1,CWaterMeehan(TABEL!A9,INPUT!$B$7,CORET!E20,INPUT!$E$8,N9),CORET!$N$1=2,CWater(TABEL!A9,INPUT!$B$7,I9,B9,INPUT!$E$7,INPUT!$B$18,INPUT!$B$10,INPUT!$B$8))</f>
        <v>2.8695486182881855E-5</v>
      </c>
    </row>
    <row r="10" spans="1:18" ht="15.75" thickBot="1">
      <c r="A10" s="13">
        <v>2000</v>
      </c>
      <c r="B10" s="17" t="str">
        <f>IF(A10&gt;=INPUT!$B$18,"Unsaturated","Saturated")</f>
        <v>Unsaturated</v>
      </c>
      <c r="C10" s="14">
        <f>_xlfn.IFS(CORET!$A$1=1,RSGLASO(INPUT!$B$16,INPUT!$B$11,INPUT!$B$7,B10,TABEL!A10,INPUT!$B$18),CORET!$A$1=2,RSSTANDING(A10,INPUT!$B$16,INPUT!$B$7,INPUT!$B$11,B10,INPUT!$B$18),CORET!$A$1=3,RSVASCUESS(INPUT!$E$20,A10,INPUT!$B$16,INPUT!$B$7,INPUT!$E$18,INPUT!$E$19,B10,INPUT!$B$18),CORET!$A$1=4,RSLASATER(A10,INPUT!$B$16,INPUT!$B$7,INPUT!$B$11,INPUT!$B$18,B10),CORET!$A$1=5,RSFARSHAD(TABEL!A10,INPUT!$B$18,INPUT!$B$16,INPUT!$B$7,INPUT!$B$11,B10),CORET!$A$1=6,RSKARTO(INPUT!$E$18,INPUT!$E$19,INPUT!$B$16,INPUT!$E$20,A10,INPUT!$B$18,INPUT!$B$7,B10),CORET!$A$1=7,RSMARHOUN(INPUT!$B$11,INPUT!$B$16,INPUT!$B$7,A10,INPUT!$B$18,B10),CORET!$A$1=8,RSHANAFY(A10,INPUT!$B$18,B10),CORET!$A$1=9,RSVELARDE(A10,INPUT!$B$18,INPUT!$B$11,INPUT!$B$16,INPUT!$B$7,B10),CORET!$A$1=10,RSFARSHAD(TABEL!A10,INPUT!$B$18,INPUT!$B$16,INPUT!$B$7,INPUT!$B$11,TABEL!B10))</f>
        <v>8.771124584531691</v>
      </c>
      <c r="D10" s="14">
        <f>_xlfn.IFS(CORET!$G$1=1,standingBO(INPUT!$B$7,INPUT!$B$11,INPUT!$B$16,G10,B10,TABEL!A10,INPUT!$B$18),CORET!$G$1=2,VasquezzBO(INPUT!$B$7,INPUT!$E$20,INPUT!$B$11,INPUT!$B$16,TABEL!G10,TABEL!B10,TABEL!A10,INPUT!$B$18,INPUT!$E$19,INPUT!$E$18),CORET!$G$1=3,GlasoBo(INPUT!$B$11,INPUT!$B$16,INPUT!$B$7,TABEL!A10,B10,INPUT!$B$18,G10),CORET!$G$1=4,FarshadBo(INPUT!$B$11,INPUT!$B$16,INPUT!$B$7,TABEL!A10,INPUT!$B$18,TABEL!G10,TABEL!B10),CORET!$G$1=5,LeblancBo(G10,TABEL!A10,INPUT!$B$18,INPUT!$B$16,INPUT!$B$7,INPUT!$B$11,TABEL!B10),CORET!$G$1=6,MarhounBo(G10,INPUT!$B$11,INPUT!$B$16,INPUT!$B$7,TABEL!A10,INPUT!$B$18,TABEL!B10),CORET!$G$1=7,KartoBo(G10,INPUT!$E$18,INPUT!$E$19,INPUT!$B$16,INPUT!$E$20,TABEL!A10,INPUT!$B$18,INPUT!$B$7,TABEL!B10),CORET!$G$1=8,AlmaedhaidebBo(G10,INPUT!$E$20,TABEL!A10,INPUT!$B$16,INPUT!$B$7,INPUT!$E$18,INPUT!$E$19,TABEL!B10,INPUT!$B$18),CORET!$G$1=9,AlshammasiBo(G10,INPUT!$B$11,INPUT!$E$20,TABEL!A10,INPUT!$B$16,INPUT!$B$7,INPUT!$E$18,INPUT!$E$19,TABEL!B10,INPUT!$B$18),CORET!$G$1=10,SharkawyBo(G10,INPUT!$B$11,INPUT!$E$20,TABEL!A10,INPUT!$B$16,INPUT!$B$7,INPUT!$E$18,INPUT!$E$19,TABEL!B10,INPUT!$B$18),CORET!$G$1=11,OsmanBo(G10,INPUT!$B$11,INPUT!$E$20,TABEL!A10,INPUT!$B$16,INPUT!$B$7,INPUT!$E$18,INPUT!$E$19,TABEL!B10,INPUT!$B$18),CORET!$G$1=12,HanafyBo(G10,TABEL!A10,INPUT!$B$18,B10))</f>
        <v>1.0158126199587509</v>
      </c>
      <c r="E10" s="14">
        <f>_xlfn.IFS(CORET!$H$1=1,oildensstandard(INPUT!$B$16,C10,INPUT!$B$11,D10,G10,B10),CORET!$H$1=2,oildenshanafy(INPUT!$B$16,INPUT!$B$11,G10,TABEL!A10,INPUT!$B$18,TABEL!B10),CORET!$H$1=3,oildensstanding(INPUT!$B$16,INPUT!$E$20,INPUT!$B$11,TABEL!A10,INPUT!$B$18,TABEL!B10,G10),CORET!$H$1=4,oildensbalance(INPUT!$B$16,INPUT!$B$11,INPUT!$B$18,C10,G10,A10,INPUT!$B$7,D10,B10))</f>
        <v>46.83550888732595</v>
      </c>
      <c r="F10" s="14">
        <f>_xlfn.IFS(CORET!$I$1=1,OilVisBeggs(INPUT!$B$16,INPUT!$B$7,INPUT!$E$20,INPUT!$E$18,INPUT!$E$19,TABEL!B10,TABEL!A10,INPUT!$B$18),CORET!$I$1=2,OilVisBeal(INPUT!$B$16,INPUT!$B$7,INPUT!$E$20,INPUT!$E$18,INPUT!$E$19,TABEL!B10,TABEL!A10,INPUT!$B$18),CORET!$I$1=3,OilVisEgbogah(INPUT!$E$20,TABEL!A10,INPUT!$B$16,INPUT!$B$7,INPUT!$E$18,INPUT!$E$19,TABEL!B10,INPUT!$B$18),CORET!$I$1=4,OilVisPetro(INPUT!$E$20,TABEL!A10,INPUT!$B$16,INPUT!$B$7,INPUT!$E$18,INPUT!$E$19,B10,INPUT!$B$18),CORET!$I$1=5,OilVisMarhoun(INPUT!$B$11,INPUT!$B$16,INPUT!$B$7,TABEL!A10,INPUT!$B$18,TABEL!B10),CORET!$I$1=6,OilVisAlmae(INPUT!$E$20,INPUT!$B$11,TABEL!A10,INPUT!$B$16,INPUT!$B$7,INPUT!$E$18,INPUT!$E$19,B10,INPUT!$B$18),CORET!$I$1=7,OilVisKhan(INPUT!$E$20,INPUT!$B$11,TABEL!A10,INPUT!$B$16,INPUT!$B$7,INPUT!$E$18,INPUT!$E$19,TABEL!B10,INPUT!$B$18),CORET!$I$1=8,OilVisHanafy(INPUT!$B$16,INPUT!$E$20,INPUT!$B$11,TABEL!A10,INPUT!$B$18,TABEL!B10,G10))</f>
        <v>9.8612234945411501</v>
      </c>
      <c r="G10" s="14">
        <f>_xlfn.IFS(CORET!$F$1=1,CoVaquezz(INPUT!$E$20,TABEL!A10,INPUT!$B$16,INPUT!$B$7,INPUT!$E$18,INPUT!$E$19,TABEL!B10,INPUT!$B$18,INPUT!$B$11),CORET!$F$1=2,CoPetrosky(INPUT!$B$11,TABEL!A10,INPUT!$B$16,INPUT!$B$7,TABEL!B10,INPUT!$B$18),CORET!$F$1=3,CoFarshad(INPUT!$E$20,INPUT!$B$11,TABEL!A10,INPUT!$B$16,INPUT!$B$7,INPUT!$E$18,INPUT!$E$19,TABEL!B10,INPUT!$B$18),CORET!$F$1=4,CoAlmehaideb(INPUT!$E$20,TABEL!A10,INPUT!$B$16,INPUT!$B$7,INPUT!$E$18,INPUT!$E$19,TABEL!B10,INPUT!$B$18),CORET!$F$1=5,CoSharkawy(INPUT!$E$20,TABEL!A10,INPUT!$B$16,INPUT!$B$7,INPUT!$E$18,INPUT!$E$19,TABEL!B10,INPUT!$B$18),CORET!$F$1=6,CoKarto(INPUT!$E$20,TABEL!A10,INPUT!$B$16,INPUT!$B$7,INPUT!$E$18,INPUT!$E$19,TABEL!B10,INPUT!$B$18),CORET!$F$1=7,CoAhmed(INPUT!$E$20,TABEL!A10,INPUT!$B$16,INPUT!$B$7,INPUT!$E$18,INPUT!$E$19,TABEL!B10,INPUT!$B$18),CORET!$F$1=8,CoDindoruk(INPUT!$E$20,INPUT!$B$11,TABEL!A10,INPUT!$B$16,INPUT!$B$7,INPUT!$E$18,INPUT!$E$19,B10,INPUT!$B$18),CORET!$F$1=9,CoMcCain(INPUT!$E$20,TABEL!A10,INPUT!$B$16,INPUT!$B$7,INPUT!$E$18,INPUT!$E$19,B10,INPUT!$B$18),CORET!$F$1=10,CoMarhoun(INPUT!$E$20,INPUT!$B$11,TABEL!A10,INPUT!$B$16,INPUT!$B$7,B10,INPUT!$B$18),CORET!$F$1=11,CoCalhoun(INPUT!$E$20,INPUT!$B$11,TABEL!A10,INPUT!$B$16,INPUT!$B$7,INPUT!$E$18,INPUT!$E$19,TABEL!B10,INPUT!$B$18),CORET!$F$1=12,CoLabedi(INPUT!$E$20,INPUT!$B$11,TABEL!A10,INPUT!$B$16,INPUT!$B$7,TABEL!B10,INPUT!$B$18),CORET!$F$1=13,CoDegetto(INPUT!$E$20,INPUT!$B$11,TABEL!A10,INPUT!$B$16,INPUT!$B$7,INPUT!$E$18,INPUT!$E$19,TABEL!B10,INPUT!$B$18))</f>
        <v>1.3653472242023418E-5</v>
      </c>
      <c r="H10" s="14">
        <f>Bggeneral(INPUT!$B$10,TABEL!A10,INPUT!$B$8,INPUT!$B$7,I10)</f>
        <v>1.3469545494261954E-2</v>
      </c>
      <c r="I10" s="14">
        <f>_xlfn.IFS(CORET!$E$1=1,ZAbouKassem(A10/OUTPUT!$B$17,(INPUT!$B$7+459.67)/(OUTPUT!$B$16+459.67),150,10^-12),CORET!$E$1=2,ZBeggsbrill(INPUT!$B$7+459.67,TABEL!A10,OUTPUT!$B$16+459.67,OUTPUT!$B$17),CORET!$E$1=3,hall(TABEL!A10,INPUT!$B$7+459.67,OUTPUT!$B$16+459.67,OUTPUT!$B$17),CORET!$E$1=4,zpapay(INPUT!$B$7+459.67,TABEL!A10,OUTPUT!$B$16+459.67,OUTPUT!$B$17))</f>
        <v>0.79502119263851079</v>
      </c>
      <c r="J10" s="14">
        <f>gasdensgeneral(A10,I10,INPUT!$B$7)</f>
        <v>11.397272832552183</v>
      </c>
      <c r="K10" s="14">
        <f>_xlfn.IFS(CORET!$J$1=1,ViscGas(TABEL!A10,INPUT!$B$7,INPUT!$B$11,TABEL!I10),CORET!$J$1=2,ViscCarr(TABEL!A10,INPUT!$B$7,INPUT!$B$11,OUTPUT!$B$17,OUTPUT!$B$16,INPUT!$E$15,INPUT!$E$14,INPUT!$E$13),CORET!$J$1=3,VisJossi(TABEL!A10,OUTPUT!$B$17,INPUT!$B$7,OUTPUT!$B$16,I10,INPUT!$B$11),CORET!$J$1=4,VisDean(TABEL!A10,OUTPUT!$B$17,INPUT!$B$7,OUTPUT!$B$16,I10,INPUT!$B$11),CORET!$J$1=5,VisLucas(TABEL!A10,OUTPUT!$B$17,INPUT!$B$7,OUTPUT!$B$16,INPUT!$B$11),CORET!$J$1=6,VisLondono(TABEL!A10,I10,INPUT!$B$7,INPUT!$B$11),CORET!$J$1=7,VisSutton(TABEL!A10,I10,INPUT!$B$7,OUTPUT!$B$16,INPUT!$B$11,OUTPUT!$B$17))</f>
        <v>1.6992489170886218E-2</v>
      </c>
      <c r="L10" s="14">
        <f>_xlfn.IFS(CORET!$K$1=1,CgHall(TABEL!A10,INPUT!$B$7,OUTPUT!$B$16,OUTPUT!$B$17,TABEL!I10),CORET!$K$1=2,CgDranchuk(TABEL!A10,INPUT!$B$7,OUTPUT!$B$16,OUTPUT!$B$17,TABEL!I10))</f>
        <v>4.5579846625783365E-4</v>
      </c>
      <c r="M10" s="12">
        <f>_xlfn.IFS(CORET!$M$1=1,BWMeehan(TABEL!A10,INPUT!$B$7,CORET!$E$18,INPUT!$E$8),CORET!$M$1=2,BWMCain(TABEL!A10,INPUT!$B$7,TABEL!I10,B10,INPUT!$E$7,INPUT!$B$18,INPUT!$B$10,INPUT!$B$8))</f>
        <v>0.97944856118499601</v>
      </c>
      <c r="N10" s="14">
        <f>RswMcCain(TABEL!A10,INPUT!$B$7,INPUT!$E$7)</f>
        <v>11.804426833828865</v>
      </c>
      <c r="O10" s="14">
        <f>Density_Brine(TABEL!A10,INPUT!$B$7,INPUT!$B$18,B10,INPUT!$E$7,TABEL!Q10,INPUT!$E$8)</f>
        <v>63.676646708780119</v>
      </c>
      <c r="P10" s="14">
        <f>_xlfn.IFS(CORET!$L$1=1,ViscBrine(TABEL!A10,INPUT!$B$7,INPUT!$E$7),CORET!$L$1=2,ViscMeehan(TABEL!A10,INPUT!$B$7,INPUT!$E$8),CORET!$L$1=3,ViscKestin(TABEL!A10,INPUT!$B$7,INPUT!$E$7))</f>
        <v>0.4859260630834511</v>
      </c>
      <c r="Q10" s="77">
        <f>_xlfn.IFS(CORET!$N$1=1,CWaterMeehan(TABEL!A10,INPUT!$B$7,CORET!E21,INPUT!$E$8,N10),CORET!$N$1=2,CWater(TABEL!A10,INPUT!$B$7,I10,B10,INPUT!$E$7,INPUT!$B$18,INPUT!$B$10,INPUT!$B$8))</f>
        <v>2.9530768932872338E-5</v>
      </c>
    </row>
    <row r="11" spans="1:18" ht="15.75" thickBot="1">
      <c r="A11" s="13">
        <v>1500</v>
      </c>
      <c r="B11" s="17" t="str">
        <f>IF(A11&gt;=INPUT!$B$18,"Unsaturated","Saturated")</f>
        <v>Unsaturated</v>
      </c>
      <c r="C11" s="14">
        <f>_xlfn.IFS(CORET!$A$1=1,RSGLASO(INPUT!$B$16,INPUT!$B$11,INPUT!$B$7,B11,TABEL!A11,INPUT!$B$18),CORET!$A$1=2,RSSTANDING(A11,INPUT!$B$16,INPUT!$B$7,INPUT!$B$11,B11,INPUT!$B$18),CORET!$A$1=3,RSVASCUESS(INPUT!$E$20,A11,INPUT!$B$16,INPUT!$B$7,INPUT!$E$18,INPUT!$E$19,B11,INPUT!$B$18),CORET!$A$1=4,RSLASATER(A11,INPUT!$B$16,INPUT!$B$7,INPUT!$B$11,INPUT!$B$18,B11),CORET!$A$1=5,RSFARSHAD(TABEL!A11,INPUT!$B$18,INPUT!$B$16,INPUT!$B$7,INPUT!$B$11,B11),CORET!$A$1=6,RSKARTO(INPUT!$E$18,INPUT!$E$19,INPUT!$B$16,INPUT!$E$20,A11,INPUT!$B$18,INPUT!$B$7,B11),CORET!$A$1=7,RSMARHOUN(INPUT!$B$11,INPUT!$B$16,INPUT!$B$7,A11,INPUT!$B$18,B11),CORET!$A$1=8,RSHANAFY(A11,INPUT!$B$18,B11),CORET!$A$1=9,RSVELARDE(A11,INPUT!$B$18,INPUT!$B$11,INPUT!$B$16,INPUT!$B$7,B11),CORET!$A$1=10,RSFARSHAD(TABEL!A11,INPUT!$B$18,INPUT!$B$16,INPUT!$B$7,INPUT!$B$11,TABEL!B11))</f>
        <v>8.771124584531691</v>
      </c>
      <c r="D11" s="14">
        <f>_xlfn.IFS(CORET!$G$1=1,standingBO(INPUT!$B$7,INPUT!$B$11,INPUT!$B$16,G11,B11,TABEL!A11,INPUT!$B$18),CORET!$G$1=2,VasquezzBO(INPUT!$B$7,INPUT!$E$20,INPUT!$B$11,INPUT!$B$16,TABEL!G11,TABEL!B11,TABEL!A11,INPUT!$B$18,INPUT!$E$19,INPUT!$E$18),CORET!$G$1=3,GlasoBo(INPUT!$B$11,INPUT!$B$16,INPUT!$B$7,TABEL!A11,B11,INPUT!$B$18,G11),CORET!$G$1=4,FarshadBo(INPUT!$B$11,INPUT!$B$16,INPUT!$B$7,TABEL!A11,INPUT!$B$18,TABEL!G11,TABEL!B11),CORET!$G$1=5,LeblancBo(G11,TABEL!A11,INPUT!$B$18,INPUT!$B$16,INPUT!$B$7,INPUT!$B$11,TABEL!B11),CORET!$G$1=6,MarhounBo(G11,INPUT!$B$11,INPUT!$B$16,INPUT!$B$7,TABEL!A11,INPUT!$B$18,TABEL!B11),CORET!$G$1=7,KartoBo(G11,INPUT!$E$18,INPUT!$E$19,INPUT!$B$16,INPUT!$E$20,TABEL!A11,INPUT!$B$18,INPUT!$B$7,TABEL!B11),CORET!$G$1=8,AlmaedhaidebBo(G11,INPUT!$E$20,TABEL!A11,INPUT!$B$16,INPUT!$B$7,INPUT!$E$18,INPUT!$E$19,TABEL!B11,INPUT!$B$18),CORET!$G$1=9,AlshammasiBo(G11,INPUT!$B$11,INPUT!$E$20,TABEL!A11,INPUT!$B$16,INPUT!$B$7,INPUT!$E$18,INPUT!$E$19,TABEL!B11,INPUT!$B$18),CORET!$G$1=10,SharkawyBo(G11,INPUT!$B$11,INPUT!$E$20,TABEL!A11,INPUT!$B$16,INPUT!$B$7,INPUT!$E$18,INPUT!$E$19,TABEL!B11,INPUT!$B$18),CORET!$G$1=11,OsmanBo(G11,INPUT!$B$11,INPUT!$E$20,TABEL!A11,INPUT!$B$16,INPUT!$B$7,INPUT!$E$18,INPUT!$E$19,TABEL!B11,INPUT!$B$18),CORET!$G$1=12,HanafyBo(G11,TABEL!A11,INPUT!$B$18,B11))</f>
        <v>1.0164031456335993</v>
      </c>
      <c r="E11" s="14">
        <f>_xlfn.IFS(CORET!$H$1=1,oildensstandard(INPUT!$B$16,C11,INPUT!$B$11,D11,G11,B11),CORET!$H$1=2,oildenshanafy(INPUT!$B$16,INPUT!$B$11,G11,TABEL!A11,INPUT!$B$18,TABEL!B11),CORET!$H$1=3,oildensstanding(INPUT!$B$16,INPUT!$E$20,INPUT!$B$11,TABEL!A11,INPUT!$B$18,TABEL!B11,G11),CORET!$H$1=4,oildensbalance(INPUT!$B$16,INPUT!$B$11,INPUT!$B$18,C11,G11,A11,INPUT!$B$7,D11,B11))</f>
        <v>46.709018934313228</v>
      </c>
      <c r="F11" s="14">
        <f>_xlfn.IFS(CORET!$I$1=1,OilVisBeggs(INPUT!$B$16,INPUT!$B$7,INPUT!$E$20,INPUT!$E$18,INPUT!$E$19,TABEL!B11,TABEL!A11,INPUT!$B$18),CORET!$I$1=2,OilVisBeal(INPUT!$B$16,INPUT!$B$7,INPUT!$E$20,INPUT!$E$18,INPUT!$E$19,TABEL!B11,TABEL!A11,INPUT!$B$18),CORET!$I$1=3,OilVisEgbogah(INPUT!$E$20,TABEL!A11,INPUT!$B$16,INPUT!$B$7,INPUT!$E$18,INPUT!$E$19,TABEL!B11,INPUT!$B$18),CORET!$I$1=4,OilVisPetro(INPUT!$E$20,TABEL!A11,INPUT!$B$16,INPUT!$B$7,INPUT!$E$18,INPUT!$E$19,B11,INPUT!$B$18),CORET!$I$1=5,OilVisMarhoun(INPUT!$B$11,INPUT!$B$16,INPUT!$B$7,TABEL!A11,INPUT!$B$18,TABEL!B11),CORET!$I$1=6,OilVisAlmae(INPUT!$E$20,INPUT!$B$11,TABEL!A11,INPUT!$B$16,INPUT!$B$7,INPUT!$E$18,INPUT!$E$19,B11,INPUT!$B$18),CORET!$I$1=7,OilVisKhan(INPUT!$E$20,INPUT!$B$11,TABEL!A11,INPUT!$B$16,INPUT!$B$7,INPUT!$E$18,INPUT!$E$19,TABEL!B11,INPUT!$B$18),CORET!$I$1=8,OilVisHanafy(INPUT!$B$16,INPUT!$E$20,INPUT!$B$11,TABEL!A11,INPUT!$B$18,TABEL!B11,G11))</f>
        <v>9.399065294569672</v>
      </c>
      <c r="G11" s="14">
        <f>_xlfn.IFS(CORET!$F$1=1,CoVaquezz(INPUT!$E$20,TABEL!A11,INPUT!$B$16,INPUT!$B$7,INPUT!$E$18,INPUT!$E$19,TABEL!B11,INPUT!$B$18,INPUT!$B$11),CORET!$F$1=2,CoPetrosky(INPUT!$B$11,TABEL!A11,INPUT!$B$16,INPUT!$B$7,TABEL!B11,INPUT!$B$18),CORET!$F$1=3,CoFarshad(INPUT!$E$20,INPUT!$B$11,TABEL!A11,INPUT!$B$16,INPUT!$B$7,INPUT!$E$18,INPUT!$E$19,TABEL!B11,INPUT!$B$18),CORET!$F$1=4,CoAlmehaideb(INPUT!$E$20,TABEL!A11,INPUT!$B$16,INPUT!$B$7,INPUT!$E$18,INPUT!$E$19,TABEL!B11,INPUT!$B$18),CORET!$F$1=5,CoSharkawy(INPUT!$E$20,TABEL!A11,INPUT!$B$16,INPUT!$B$7,INPUT!$E$18,INPUT!$E$19,TABEL!B11,INPUT!$B$18),CORET!$F$1=6,CoKarto(INPUT!$E$20,TABEL!A11,INPUT!$B$16,INPUT!$B$7,INPUT!$E$18,INPUT!$E$19,TABEL!B11,INPUT!$B$18),CORET!$F$1=7,CoAhmed(INPUT!$E$20,TABEL!A11,INPUT!$B$16,INPUT!$B$7,INPUT!$E$18,INPUT!$E$19,TABEL!B11,INPUT!$B$18),CORET!$F$1=8,CoDindoruk(INPUT!$E$20,INPUT!$B$11,TABEL!A11,INPUT!$B$16,INPUT!$B$7,INPUT!$E$18,INPUT!$E$19,B11,INPUT!$B$18),CORET!$F$1=9,CoMcCain(INPUT!$E$20,TABEL!A11,INPUT!$B$16,INPUT!$B$7,INPUT!$E$18,INPUT!$E$19,B11,INPUT!$B$18),CORET!$F$1=10,CoMarhoun(INPUT!$E$20,INPUT!$B$11,TABEL!A11,INPUT!$B$16,INPUT!$B$7,B11,INPUT!$B$18),CORET!$F$1=11,CoCalhoun(INPUT!$E$20,INPUT!$B$11,TABEL!A11,INPUT!$B$16,INPUT!$B$7,INPUT!$E$18,INPUT!$E$19,TABEL!B11,INPUT!$B$18),CORET!$F$1=12,CoLabedi(INPUT!$E$20,INPUT!$B$11,TABEL!A11,INPUT!$B$16,INPUT!$B$7,TABEL!B11,INPUT!$B$18),CORET!$F$1=13,CoDegetto(INPUT!$E$20,INPUT!$B$11,TABEL!A11,INPUT!$B$16,INPUT!$B$7,INPUT!$E$18,INPUT!$E$19,TABEL!B11,INPUT!$B$18))</f>
        <v>1.8204629656031223E-5</v>
      </c>
      <c r="H11" s="14">
        <f>Bggeneral(INPUT!$B$10,TABEL!A11,INPUT!$B$8,INPUT!$B$7,I11)</f>
        <v>1.8563753272454176E-2</v>
      </c>
      <c r="I11" s="14">
        <f>_xlfn.IFS(CORET!$E$1=1,ZAbouKassem(A11/OUTPUT!$B$17,(INPUT!$B$7+459.67)/(OUTPUT!$B$16+459.67),150,10^-12),CORET!$E$1=2,ZBeggsbrill(INPUT!$B$7+459.67,TABEL!A11,OUTPUT!$B$16+459.67,OUTPUT!$B$17),CORET!$E$1=3,hall(TABEL!A11,INPUT!$B$7+459.67,OUTPUT!$B$16+459.67,OUTPUT!$B$17),CORET!$E$1=4,zpapay(INPUT!$B$7+459.67,TABEL!A11,OUTPUT!$B$16+459.67,OUTPUT!$B$17))</f>
        <v>0.82177479222298655</v>
      </c>
      <c r="J11" s="14">
        <f>gasdensgeneral(A11,I11,INPUT!$B$7)</f>
        <v>8.2696684595766676</v>
      </c>
      <c r="K11" s="14">
        <f>_xlfn.IFS(CORET!$J$1=1,ViscGas(TABEL!A11,INPUT!$B$7,INPUT!$B$11,TABEL!I11),CORET!$J$1=2,ViscCarr(TABEL!A11,INPUT!$B$7,INPUT!$B$11,OUTPUT!$B$17,OUTPUT!$B$16,INPUT!$E$15,INPUT!$E$14,INPUT!$E$13),CORET!$J$1=3,VisJossi(TABEL!A11,OUTPUT!$B$17,INPUT!$B$7,OUTPUT!$B$16,I11,INPUT!$B$11),CORET!$J$1=4,VisDean(TABEL!A11,OUTPUT!$B$17,INPUT!$B$7,OUTPUT!$B$16,I11,INPUT!$B$11),CORET!$J$1=5,VisLucas(TABEL!A11,OUTPUT!$B$17,INPUT!$B$7,OUTPUT!$B$16,INPUT!$B$11),CORET!$J$1=6,VisLondono(TABEL!A11,I11,INPUT!$B$7,INPUT!$B$11),CORET!$J$1=7,VisSutton(TABEL!A11,I11,INPUT!$B$7,OUTPUT!$B$16,INPUT!$B$11,OUTPUT!$B$17))</f>
        <v>1.5012470954348428E-2</v>
      </c>
      <c r="L11" s="14">
        <f>_xlfn.IFS(CORET!$K$1=1,CgHall(TABEL!A11,INPUT!$B$7,OUTPUT!$B$16,OUTPUT!$B$17,TABEL!I11),CORET!$K$1=2,CgDranchuk(TABEL!A11,INPUT!$B$7,OUTPUT!$B$16,OUTPUT!$B$17,TABEL!I11))</f>
        <v>6.9358417384701363E-4</v>
      </c>
      <c r="M11" s="12">
        <f>_xlfn.IFS(CORET!$M$1=1,BWMeehan(TABEL!A11,INPUT!$B$7,CORET!$E$18,INPUT!$E$8),CORET!$M$1=2,BWMCain(TABEL!A11,INPUT!$B$7,TABEL!I11,B11,INPUT!$E$7,INPUT!$B$18,INPUT!$B$10,INPUT!$B$8))</f>
        <v>0.986666982199214</v>
      </c>
      <c r="N11" s="14">
        <f>RswMcCain(TABEL!A11,INPUT!$B$7,INPUT!$E$7)</f>
        <v>9.7127531501807383</v>
      </c>
      <c r="O11" s="14">
        <f>Density_Brine(TABEL!A11,INPUT!$B$7,INPUT!$B$18,B11,INPUT!$E$7,TABEL!Q11,INPUT!$E$8)</f>
        <v>63.210790596221173</v>
      </c>
      <c r="P11" s="14">
        <f>_xlfn.IFS(CORET!$L$1=1,ViscBrine(TABEL!A11,INPUT!$B$7,INPUT!$E$7),CORET!$L$1=2,ViscMeehan(TABEL!A11,INPUT!$B$7,INPUT!$E$8),CORET!$L$1=3,ViscKestin(TABEL!A11,INPUT!$B$7,INPUT!$E$7))</f>
        <v>0.48519704070959541</v>
      </c>
      <c r="Q11" s="77">
        <f>_xlfn.IFS(CORET!$N$1=1,CWaterMeehan(TABEL!A11,INPUT!$B$7,CORET!E22,INPUT!$E$8,N11),CORET!$N$1=2,CWater(TABEL!A11,INPUT!$B$7,I11,B11,INPUT!$E$7,INPUT!$B$18,INPUT!$B$10,INPUT!$B$8))</f>
        <v>2.9947704029936749E-5</v>
      </c>
    </row>
    <row r="12" spans="1:18" ht="15.75" thickBot="1">
      <c r="A12" s="13">
        <v>1000</v>
      </c>
      <c r="B12" s="17" t="str">
        <f>IF(A12&gt;=INPUT!$B$18,"Unsaturated","Saturated")</f>
        <v>Unsaturated</v>
      </c>
      <c r="C12" s="14">
        <f>_xlfn.IFS(CORET!$A$1=1,RSGLASO(INPUT!$B$16,INPUT!$B$11,INPUT!$B$7,B12,TABEL!A12,INPUT!$B$18),CORET!$A$1=2,RSSTANDING(A12,INPUT!$B$16,INPUT!$B$7,INPUT!$B$11,B12,INPUT!$B$18),CORET!$A$1=3,RSVASCUESS(INPUT!$E$20,A12,INPUT!$B$16,INPUT!$B$7,INPUT!$E$18,INPUT!$E$19,B12,INPUT!$B$18),CORET!$A$1=4,RSLASATER(A12,INPUT!$B$16,INPUT!$B$7,INPUT!$B$11,INPUT!$B$18,B12),CORET!$A$1=5,RSFARSHAD(TABEL!A12,INPUT!$B$18,INPUT!$B$16,INPUT!$B$7,INPUT!$B$11,B12),CORET!$A$1=6,RSKARTO(INPUT!$E$18,INPUT!$E$19,INPUT!$B$16,INPUT!$E$20,A12,INPUT!$B$18,INPUT!$B$7,B12),CORET!$A$1=7,RSMARHOUN(INPUT!$B$11,INPUT!$B$16,INPUT!$B$7,A12,INPUT!$B$18,B12),CORET!$A$1=8,RSHANAFY(A12,INPUT!$B$18,B12),CORET!$A$1=9,RSVELARDE(A12,INPUT!$B$18,INPUT!$B$11,INPUT!$B$16,INPUT!$B$7,B12),CORET!$A$1=10,RSFARSHAD(TABEL!A12,INPUT!$B$18,INPUT!$B$16,INPUT!$B$7,INPUT!$B$11,TABEL!B12))</f>
        <v>8.771124584531691</v>
      </c>
      <c r="D12" s="14">
        <f>_xlfn.IFS(CORET!$G$1=1,standingBO(INPUT!$B$7,INPUT!$B$11,INPUT!$B$16,G12,B12,TABEL!A12,INPUT!$B$18),CORET!$G$1=2,VasquezzBO(INPUT!$B$7,INPUT!$E$20,INPUT!$B$11,INPUT!$B$16,TABEL!G12,TABEL!B12,TABEL!A12,INPUT!$B$18,INPUT!$E$19,INPUT!$E$18),CORET!$G$1=3,GlasoBo(INPUT!$B$11,INPUT!$B$16,INPUT!$B$7,TABEL!A12,B12,INPUT!$B$18,G12),CORET!$G$1=4,FarshadBo(INPUT!$B$11,INPUT!$B$16,INPUT!$B$7,TABEL!A12,INPUT!$B$18,TABEL!G12,TABEL!B12),CORET!$G$1=5,LeblancBo(G12,TABEL!A12,INPUT!$B$18,INPUT!$B$16,INPUT!$B$7,INPUT!$B$11,TABEL!B12),CORET!$G$1=6,MarhounBo(G12,INPUT!$B$11,INPUT!$B$16,INPUT!$B$7,TABEL!A12,INPUT!$B$18,TABEL!B12),CORET!$G$1=7,KartoBo(G12,INPUT!$E$18,INPUT!$E$19,INPUT!$B$16,INPUT!$E$20,TABEL!A12,INPUT!$B$18,INPUT!$B$7,TABEL!B12),CORET!$G$1=8,AlmaedhaidebBo(G12,INPUT!$E$20,TABEL!A12,INPUT!$B$16,INPUT!$B$7,INPUT!$E$18,INPUT!$E$19,TABEL!B12,INPUT!$B$18),CORET!$G$1=9,AlshammasiBo(G12,INPUT!$B$11,INPUT!$E$20,TABEL!A12,INPUT!$B$16,INPUT!$B$7,INPUT!$E$18,INPUT!$E$19,TABEL!B12,INPUT!$B$18),CORET!$G$1=10,SharkawyBo(G12,INPUT!$B$11,INPUT!$E$20,TABEL!A12,INPUT!$B$16,INPUT!$B$7,INPUT!$E$18,INPUT!$E$19,TABEL!B12,INPUT!$B$18),CORET!$G$1=11,OsmanBo(G12,INPUT!$B$11,INPUT!$E$20,TABEL!A12,INPUT!$B$16,INPUT!$B$7,INPUT!$E$18,INPUT!$E$19,TABEL!B12,INPUT!$B$18),CORET!$G$1=12,HanafyBo(G12,TABEL!A12,INPUT!$B$18,B12))</f>
        <v>1.0175852270595325</v>
      </c>
      <c r="E12" s="14">
        <f>_xlfn.IFS(CORET!$H$1=1,oildensstandard(INPUT!$B$16,C12,INPUT!$B$11,D12,G12,B12),CORET!$H$1=2,oildenshanafy(INPUT!$B$16,INPUT!$B$11,G12,TABEL!A12,INPUT!$B$18,TABEL!B12),CORET!$H$1=3,oildensstanding(INPUT!$B$16,INPUT!$E$20,INPUT!$B$11,TABEL!A12,INPUT!$B$18,TABEL!B12,G12),CORET!$H$1=4,oildensbalance(INPUT!$B$16,INPUT!$B$11,INPUT!$B$18,C12,G12,A12,INPUT!$B$7,D12,B12))</f>
        <v>46.551346412584287</v>
      </c>
      <c r="F12" s="14">
        <f>_xlfn.IFS(CORET!$I$1=1,OilVisBeggs(INPUT!$B$16,INPUT!$B$7,INPUT!$E$20,INPUT!$E$18,INPUT!$E$19,TABEL!B12,TABEL!A12,INPUT!$B$18),CORET!$I$1=2,OilVisBeal(INPUT!$B$16,INPUT!$B$7,INPUT!$E$20,INPUT!$E$18,INPUT!$E$19,TABEL!B12,TABEL!A12,INPUT!$B$18),CORET!$I$1=3,OilVisEgbogah(INPUT!$E$20,TABEL!A12,INPUT!$B$16,INPUT!$B$7,INPUT!$E$18,INPUT!$E$19,TABEL!B12,INPUT!$B$18),CORET!$I$1=4,OilVisPetro(INPUT!$E$20,TABEL!A12,INPUT!$B$16,INPUT!$B$7,INPUT!$E$18,INPUT!$E$19,B12,INPUT!$B$18),CORET!$I$1=5,OilVisMarhoun(INPUT!$B$11,INPUT!$B$16,INPUT!$B$7,TABEL!A12,INPUT!$B$18,TABEL!B12),CORET!$I$1=6,OilVisAlmae(INPUT!$E$20,INPUT!$B$11,TABEL!A12,INPUT!$B$16,INPUT!$B$7,INPUT!$E$18,INPUT!$E$19,B12,INPUT!$B$18),CORET!$I$1=7,OilVisKhan(INPUT!$E$20,INPUT!$B$11,TABEL!A12,INPUT!$B$16,INPUT!$B$7,INPUT!$E$18,INPUT!$E$19,TABEL!B12,INPUT!$B$18),CORET!$I$1=8,OilVisHanafy(INPUT!$B$16,INPUT!$E$20,INPUT!$B$11,TABEL!A12,INPUT!$B$18,TABEL!B12,G12))</f>
        <v>8.9585666992019366</v>
      </c>
      <c r="G12" s="14">
        <f>_xlfn.IFS(CORET!$F$1=1,CoVaquezz(INPUT!$E$20,TABEL!A12,INPUT!$B$16,INPUT!$B$7,INPUT!$E$18,INPUT!$E$19,TABEL!B12,INPUT!$B$18,INPUT!$B$11),CORET!$F$1=2,CoPetrosky(INPUT!$B$11,TABEL!A12,INPUT!$B$16,INPUT!$B$7,TABEL!B12,INPUT!$B$18),CORET!$F$1=3,CoFarshad(INPUT!$E$20,INPUT!$B$11,TABEL!A12,INPUT!$B$16,INPUT!$B$7,INPUT!$E$18,INPUT!$E$19,TABEL!B12,INPUT!$B$18),CORET!$F$1=4,CoAlmehaideb(INPUT!$E$20,TABEL!A12,INPUT!$B$16,INPUT!$B$7,INPUT!$E$18,INPUT!$E$19,TABEL!B12,INPUT!$B$18),CORET!$F$1=5,CoSharkawy(INPUT!$E$20,TABEL!A12,INPUT!$B$16,INPUT!$B$7,INPUT!$E$18,INPUT!$E$19,TABEL!B12,INPUT!$B$18),CORET!$F$1=6,CoKarto(INPUT!$E$20,TABEL!A12,INPUT!$B$16,INPUT!$B$7,INPUT!$E$18,INPUT!$E$19,TABEL!B12,INPUT!$B$18),CORET!$F$1=7,CoAhmed(INPUT!$E$20,TABEL!A12,INPUT!$B$16,INPUT!$B$7,INPUT!$E$18,INPUT!$E$19,TABEL!B12,INPUT!$B$18),CORET!$F$1=8,CoDindoruk(INPUT!$E$20,INPUT!$B$11,TABEL!A12,INPUT!$B$16,INPUT!$B$7,INPUT!$E$18,INPUT!$E$19,B12,INPUT!$B$18),CORET!$F$1=9,CoMcCain(INPUT!$E$20,TABEL!A12,INPUT!$B$16,INPUT!$B$7,INPUT!$E$18,INPUT!$E$19,B12,INPUT!$B$18),CORET!$F$1=10,CoMarhoun(INPUT!$E$20,INPUT!$B$11,TABEL!A12,INPUT!$B$16,INPUT!$B$7,B12,INPUT!$B$18),CORET!$F$1=11,CoCalhoun(INPUT!$E$20,INPUT!$B$11,TABEL!A12,INPUT!$B$16,INPUT!$B$7,INPUT!$E$18,INPUT!$E$19,TABEL!B12,INPUT!$B$18),CORET!$F$1=12,CoLabedi(INPUT!$E$20,INPUT!$B$11,TABEL!A12,INPUT!$B$16,INPUT!$B$7,TABEL!B12,INPUT!$B$18),CORET!$F$1=13,CoDegetto(INPUT!$E$20,INPUT!$B$11,TABEL!A12,INPUT!$B$16,INPUT!$B$7,INPUT!$E$18,INPUT!$E$19,TABEL!B12,INPUT!$B$18))</f>
        <v>2.7306944484046835E-5</v>
      </c>
      <c r="H12" s="14">
        <f>Bggeneral(INPUT!$B$10,TABEL!A12,INPUT!$B$8,INPUT!$B$7,I12)</f>
        <v>2.9479633966292891E-2</v>
      </c>
      <c r="I12" s="14">
        <f>_xlfn.IFS(CORET!$E$1=1,ZAbouKassem(A12/OUTPUT!$B$17,(INPUT!$B$7+459.67)/(OUTPUT!$B$16+459.67),150,10^-12),CORET!$E$1=2,ZBeggsbrill(INPUT!$B$7+459.67,TABEL!A12,OUTPUT!$B$16+459.67,OUTPUT!$B$17),CORET!$E$1=3,hall(TABEL!A12,INPUT!$B$7+459.67,OUTPUT!$B$16+459.67,OUTPUT!$B$17),CORET!$E$1=4,zpapay(INPUT!$B$7+459.67,TABEL!A12,OUTPUT!$B$16+459.67,OUTPUT!$B$17))</f>
        <v>0.86999720088599475</v>
      </c>
      <c r="J12" s="14">
        <f>gasdensgeneral(A12,I12,INPUT!$B$7)</f>
        <v>5.2075302259216736</v>
      </c>
      <c r="K12" s="14">
        <f>_xlfn.IFS(CORET!$J$1=1,ViscGas(TABEL!A12,INPUT!$B$7,INPUT!$B$11,TABEL!I12),CORET!$J$1=2,ViscCarr(TABEL!A12,INPUT!$B$7,INPUT!$B$11,OUTPUT!$B$17,OUTPUT!$B$16,INPUT!$E$15,INPUT!$E$14,INPUT!$E$13),CORET!$J$1=3,VisJossi(TABEL!A12,OUTPUT!$B$17,INPUT!$B$7,OUTPUT!$B$16,I12,INPUT!$B$11),CORET!$J$1=4,VisDean(TABEL!A12,OUTPUT!$B$17,INPUT!$B$7,OUTPUT!$B$16,I12,INPUT!$B$11),CORET!$J$1=5,VisLucas(TABEL!A12,OUTPUT!$B$17,INPUT!$B$7,OUTPUT!$B$16,INPUT!$B$11),CORET!$J$1=6,VisLondono(TABEL!A12,I12,INPUT!$B$7,INPUT!$B$11),CORET!$J$1=7,VisSutton(TABEL!A12,I12,INPUT!$B$7,OUTPUT!$B$16,INPUT!$B$11,OUTPUT!$B$17))</f>
        <v>1.311895403605386E-2</v>
      </c>
      <c r="L12" s="14">
        <f>_xlfn.IFS(CORET!$K$1=1,CgHall(TABEL!A12,INPUT!$B$7,OUTPUT!$B$16,OUTPUT!$B$17,TABEL!I12),CORET!$K$1=2,CgDranchuk(TABEL!A12,INPUT!$B$7,OUTPUT!$B$16,OUTPUT!$B$17,TABEL!I12))</f>
        <v>1.0909570170775677E-3</v>
      </c>
      <c r="M12" s="12">
        <f>_xlfn.IFS(CORET!$M$1=1,BWMeehan(TABEL!A12,INPUT!$B$7,CORET!$E$18,INPUT!$E$8),CORET!$M$1=2,BWMCain(TABEL!A12,INPUT!$B$7,TABEL!I12,B12,INPUT!$E$7,INPUT!$B$18,INPUT!$B$10,INPUT!$B$8))</f>
        <v>0.99558740258926381</v>
      </c>
      <c r="N12" s="14">
        <f>RswMcCain(TABEL!A12,INPUT!$B$7,INPUT!$E$7)</f>
        <v>7.520105450953217</v>
      </c>
      <c r="O12" s="14">
        <f>Density_Brine(TABEL!A12,INPUT!$B$7,INPUT!$B$18,B12,INPUT!$E$7,TABEL!Q12,INPUT!$E$8)</f>
        <v>62.644424625901316</v>
      </c>
      <c r="P12" s="14">
        <f>_xlfn.IFS(CORET!$L$1=1,ViscBrine(TABEL!A12,INPUT!$B$7,INPUT!$E$7),CORET!$L$1=2,ViscMeehan(TABEL!A12,INPUT!$B$7,INPUT!$E$8),CORET!$L$1=3,ViscKestin(TABEL!A12,INPUT!$B$7,INPUT!$E$7))</f>
        <v>0.48446801833573971</v>
      </c>
      <c r="Q12" s="77">
        <f>_xlfn.IFS(CORET!$N$1=1,CWaterMeehan(TABEL!A12,INPUT!$B$7,CORET!E23,INPUT!$E$8,N12),CORET!$N$1=2,CWater(TABEL!A12,INPUT!$B$7,I12,B12,INPUT!$E$7,INPUT!$B$18,INPUT!$B$10,INPUT!$B$8))</f>
        <v>3.0364151027780687E-5</v>
      </c>
    </row>
    <row r="13" spans="1:18" ht="15.75" thickBot="1">
      <c r="A13" s="13">
        <v>800</v>
      </c>
      <c r="B13" s="17" t="str">
        <f>IF(A13&gt;=INPUT!$B$18,"Unsaturated","Saturated")</f>
        <v>Unsaturated</v>
      </c>
      <c r="C13" s="14">
        <f>_xlfn.IFS(CORET!$A$1=1,RSGLASO(INPUT!$B$16,INPUT!$B$11,INPUT!$B$7,B13,TABEL!A13,INPUT!$B$18),CORET!$A$1=2,RSSTANDING(A13,INPUT!$B$16,INPUT!$B$7,INPUT!$B$11,B13,INPUT!$B$18),CORET!$A$1=3,RSVASCUESS(INPUT!$E$20,A13,INPUT!$B$16,INPUT!$B$7,INPUT!$E$18,INPUT!$E$19,B13,INPUT!$B$18),CORET!$A$1=4,RSLASATER(A13,INPUT!$B$16,INPUT!$B$7,INPUT!$B$11,INPUT!$B$18,B13),CORET!$A$1=5,RSFARSHAD(TABEL!A13,INPUT!$B$18,INPUT!$B$16,INPUT!$B$7,INPUT!$B$11,B13),CORET!$A$1=6,RSKARTO(INPUT!$E$18,INPUT!$E$19,INPUT!$B$16,INPUT!$E$20,A13,INPUT!$B$18,INPUT!$B$7,B13),CORET!$A$1=7,RSMARHOUN(INPUT!$B$11,INPUT!$B$16,INPUT!$B$7,A13,INPUT!$B$18,B13),CORET!$A$1=8,RSHANAFY(A13,INPUT!$B$18,B13),CORET!$A$1=9,RSVELARDE(A13,INPUT!$B$18,INPUT!$B$11,INPUT!$B$16,INPUT!$B$7,B13),CORET!$A$1=10,RSFARSHAD(TABEL!A13,INPUT!$B$18,INPUT!$B$16,INPUT!$B$7,INPUT!$B$11,TABEL!B13))</f>
        <v>8.771124584531691</v>
      </c>
      <c r="D13" s="14">
        <f>_xlfn.IFS(CORET!$G$1=1,standingBO(INPUT!$B$7,INPUT!$B$11,INPUT!$B$16,G13,B13,TABEL!A13,INPUT!$B$18),CORET!$G$1=2,VasquezzBO(INPUT!$B$7,INPUT!$E$20,INPUT!$B$11,INPUT!$B$16,TABEL!G13,TABEL!B13,TABEL!A13,INPUT!$B$18,INPUT!$E$19,INPUT!$E$18),CORET!$G$1=3,GlasoBo(INPUT!$B$11,INPUT!$B$16,INPUT!$B$7,TABEL!A13,B13,INPUT!$B$18,G13),CORET!$G$1=4,FarshadBo(INPUT!$B$11,INPUT!$B$16,INPUT!$B$7,TABEL!A13,INPUT!$B$18,TABEL!G13,TABEL!B13),CORET!$G$1=5,LeblancBo(G13,TABEL!A13,INPUT!$B$18,INPUT!$B$16,INPUT!$B$7,INPUT!$B$11,TABEL!B13),CORET!$G$1=6,MarhounBo(G13,INPUT!$B$11,INPUT!$B$16,INPUT!$B$7,TABEL!A13,INPUT!$B$18,TABEL!B13),CORET!$G$1=7,KartoBo(G13,INPUT!$E$18,INPUT!$E$19,INPUT!$B$16,INPUT!$E$20,TABEL!A13,INPUT!$B$18,INPUT!$B$7,TABEL!B13),CORET!$G$1=8,AlmaedhaidebBo(G13,INPUT!$E$20,TABEL!A13,INPUT!$B$16,INPUT!$B$7,INPUT!$E$18,INPUT!$E$19,TABEL!B13,INPUT!$B$18),CORET!$G$1=9,AlshammasiBo(G13,INPUT!$B$11,INPUT!$E$20,TABEL!A13,INPUT!$B$16,INPUT!$B$7,INPUT!$E$18,INPUT!$E$19,TABEL!B13,INPUT!$B$18),CORET!$G$1=10,SharkawyBo(G13,INPUT!$B$11,INPUT!$E$20,TABEL!A13,INPUT!$B$16,INPUT!$B$7,INPUT!$E$18,INPUT!$E$19,TABEL!B13,INPUT!$B$18),CORET!$G$1=11,OsmanBo(G13,INPUT!$B$11,INPUT!$E$20,TABEL!A13,INPUT!$B$16,INPUT!$B$7,INPUT!$E$18,INPUT!$E$19,TABEL!B13,INPUT!$B$18),CORET!$G$1=12,HanafyBo(G13,TABEL!A13,INPUT!$B$18,B13))</f>
        <v>1.0184726902317711</v>
      </c>
      <c r="E13" s="14">
        <f>_xlfn.IFS(CORET!$H$1=1,oildensstandard(INPUT!$B$16,C13,INPUT!$B$11,D13,G13,B13),CORET!$H$1=2,oildenshanafy(INPUT!$B$16,INPUT!$B$11,G13,TABEL!A13,INPUT!$B$18,TABEL!B13),CORET!$H$1=3,oildensstanding(INPUT!$B$16,INPUT!$E$20,INPUT!$B$11,TABEL!A13,INPUT!$B$18,TABEL!B13,G13),CORET!$H$1=4,oildensbalance(INPUT!$B$16,INPUT!$B$11,INPUT!$B$18,C13,G13,A13,INPUT!$B$7,D13,B13))</f>
        <v>46.468265416298173</v>
      </c>
      <c r="F13" s="14">
        <f>_xlfn.IFS(CORET!$I$1=1,OilVisBeggs(INPUT!$B$16,INPUT!$B$7,INPUT!$E$20,INPUT!$E$18,INPUT!$E$19,TABEL!B13,TABEL!A13,INPUT!$B$18),CORET!$I$1=2,OilVisBeal(INPUT!$B$16,INPUT!$B$7,INPUT!$E$20,INPUT!$E$18,INPUT!$E$19,TABEL!B13,TABEL!A13,INPUT!$B$18),CORET!$I$1=3,OilVisEgbogah(INPUT!$E$20,TABEL!A13,INPUT!$B$16,INPUT!$B$7,INPUT!$E$18,INPUT!$E$19,TABEL!B13,INPUT!$B$18),CORET!$I$1=4,OilVisPetro(INPUT!$E$20,TABEL!A13,INPUT!$B$16,INPUT!$B$7,INPUT!$E$18,INPUT!$E$19,B13,INPUT!$B$18),CORET!$I$1=5,OilVisMarhoun(INPUT!$B$11,INPUT!$B$16,INPUT!$B$7,TABEL!A13,INPUT!$B$18,TABEL!B13),CORET!$I$1=6,OilVisAlmae(INPUT!$E$20,INPUT!$B$11,TABEL!A13,INPUT!$B$16,INPUT!$B$7,INPUT!$E$18,INPUT!$E$19,B13,INPUT!$B$18),CORET!$I$1=7,OilVisKhan(INPUT!$E$20,INPUT!$B$11,TABEL!A13,INPUT!$B$16,INPUT!$B$7,INPUT!$E$18,INPUT!$E$19,TABEL!B13,INPUT!$B$18),CORET!$I$1=8,OilVisHanafy(INPUT!$B$16,INPUT!$E$20,INPUT!$B$11,TABEL!A13,INPUT!$B$18,TABEL!B13,G13))</f>
        <v>8.788202944167983</v>
      </c>
      <c r="G13" s="14">
        <f>_xlfn.IFS(CORET!$F$1=1,CoVaquezz(INPUT!$E$20,TABEL!A13,INPUT!$B$16,INPUT!$B$7,INPUT!$E$18,INPUT!$E$19,TABEL!B13,INPUT!$B$18,INPUT!$B$11),CORET!$F$1=2,CoPetrosky(INPUT!$B$11,TABEL!A13,INPUT!$B$16,INPUT!$B$7,TABEL!B13,INPUT!$B$18),CORET!$F$1=3,CoFarshad(INPUT!$E$20,INPUT!$B$11,TABEL!A13,INPUT!$B$16,INPUT!$B$7,INPUT!$E$18,INPUT!$E$19,TABEL!B13,INPUT!$B$18),CORET!$F$1=4,CoAlmehaideb(INPUT!$E$20,TABEL!A13,INPUT!$B$16,INPUT!$B$7,INPUT!$E$18,INPUT!$E$19,TABEL!B13,INPUT!$B$18),CORET!$F$1=5,CoSharkawy(INPUT!$E$20,TABEL!A13,INPUT!$B$16,INPUT!$B$7,INPUT!$E$18,INPUT!$E$19,TABEL!B13,INPUT!$B$18),CORET!$F$1=6,CoKarto(INPUT!$E$20,TABEL!A13,INPUT!$B$16,INPUT!$B$7,INPUT!$E$18,INPUT!$E$19,TABEL!B13,INPUT!$B$18),CORET!$F$1=7,CoAhmed(INPUT!$E$20,TABEL!A13,INPUT!$B$16,INPUT!$B$7,INPUT!$E$18,INPUT!$E$19,TABEL!B13,INPUT!$B$18),CORET!$F$1=8,CoDindoruk(INPUT!$E$20,INPUT!$B$11,TABEL!A13,INPUT!$B$16,INPUT!$B$7,INPUT!$E$18,INPUT!$E$19,B13,INPUT!$B$18),CORET!$F$1=9,CoMcCain(INPUT!$E$20,TABEL!A13,INPUT!$B$16,INPUT!$B$7,INPUT!$E$18,INPUT!$E$19,B13,INPUT!$B$18),CORET!$F$1=10,CoMarhoun(INPUT!$E$20,INPUT!$B$11,TABEL!A13,INPUT!$B$16,INPUT!$B$7,B13,INPUT!$B$18),CORET!$F$1=11,CoCalhoun(INPUT!$E$20,INPUT!$B$11,TABEL!A13,INPUT!$B$16,INPUT!$B$7,INPUT!$E$18,INPUT!$E$19,TABEL!B13,INPUT!$B$18),CORET!$F$1=12,CoLabedi(INPUT!$E$20,INPUT!$B$11,TABEL!A13,INPUT!$B$16,INPUT!$B$7,TABEL!B13,INPUT!$B$18),CORET!$F$1=13,CoDegetto(INPUT!$E$20,INPUT!$B$11,TABEL!A13,INPUT!$B$16,INPUT!$B$7,INPUT!$E$18,INPUT!$E$19,TABEL!B13,INPUT!$B$18))</f>
        <v>3.4133680605058545E-5</v>
      </c>
      <c r="H13" s="14">
        <f>Bggeneral(INPUT!$B$10,TABEL!A13,INPUT!$B$8,INPUT!$B$7,I13)</f>
        <v>3.7849071766764927E-2</v>
      </c>
      <c r="I13" s="14">
        <f>_xlfn.IFS(CORET!$E$1=1,ZAbouKassem(A13/OUTPUT!$B$17,(INPUT!$B$7+459.67)/(OUTPUT!$B$16+459.67),150,10^-12),CORET!$E$1=2,ZBeggsbrill(INPUT!$B$7+459.67,TABEL!A13,OUTPUT!$B$16+459.67,OUTPUT!$B$17),CORET!$E$1=3,hall(TABEL!A13,INPUT!$B$7+459.67,OUTPUT!$B$16+459.67,OUTPUT!$B$17),CORET!$E$1=4,zpapay(INPUT!$B$7+459.67,TABEL!A13,OUTPUT!$B$16+459.67,OUTPUT!$B$17))</f>
        <v>0.89359553190841567</v>
      </c>
      <c r="J13" s="14">
        <f>gasdensgeneral(A13,I13,INPUT!$B$7)</f>
        <v>4.056006601022621</v>
      </c>
      <c r="K13" s="14">
        <f>_xlfn.IFS(CORET!$J$1=1,ViscGas(TABEL!A13,INPUT!$B$7,INPUT!$B$11,TABEL!I13),CORET!$J$1=2,ViscCarr(TABEL!A13,INPUT!$B$7,INPUT!$B$11,OUTPUT!$B$17,OUTPUT!$B$16,INPUT!$E$15,INPUT!$E$14,INPUT!$E$13),CORET!$J$1=3,VisJossi(TABEL!A13,OUTPUT!$B$17,INPUT!$B$7,OUTPUT!$B$16,I13,INPUT!$B$11),CORET!$J$1=4,VisDean(TABEL!A13,OUTPUT!$B$17,INPUT!$B$7,OUTPUT!$B$16,I13,INPUT!$B$11),CORET!$J$1=5,VisLucas(TABEL!A13,OUTPUT!$B$17,INPUT!$B$7,OUTPUT!$B$16,INPUT!$B$11),CORET!$J$1=6,VisLondono(TABEL!A13,I13,INPUT!$B$7,INPUT!$B$11),CORET!$J$1=7,VisSutton(TABEL!A13,I13,INPUT!$B$7,OUTPUT!$B$16,INPUT!$B$11,OUTPUT!$B$17))</f>
        <v>1.2390678704884571E-2</v>
      </c>
      <c r="L13" s="14">
        <f>_xlfn.IFS(CORET!$K$1=1,CgHall(TABEL!A13,INPUT!$B$7,OUTPUT!$B$16,OUTPUT!$B$17,TABEL!I13),CORET!$K$1=2,CgDranchuk(TABEL!A13,INPUT!$B$7,OUTPUT!$B$16,OUTPUT!$B$17,TABEL!I13))</f>
        <v>1.3589208649360635E-3</v>
      </c>
      <c r="M13" s="12">
        <f>_xlfn.IFS(CORET!$M$1=1,BWMeehan(TABEL!A13,INPUT!$B$7,CORET!$E$18,INPUT!$E$8),CORET!$M$1=2,BWMCain(TABEL!A13,INPUT!$B$7,TABEL!I13,B13,INPUT!$E$7,INPUT!$B$18,INPUT!$B$10,INPUT!$B$8))</f>
        <v>0.99981311531946604</v>
      </c>
      <c r="N13" s="14">
        <f>RswMcCain(TABEL!A13,INPUT!$B$7,INPUT!$E$7)</f>
        <v>6.6147736468999794</v>
      </c>
      <c r="O13" s="14">
        <f>Density_Brine(TABEL!A13,INPUT!$B$7,INPUT!$B$18,B13,INPUT!$E$7,TABEL!Q13,INPUT!$E$8)</f>
        <v>62.379657802420226</v>
      </c>
      <c r="P13" s="14">
        <f>_xlfn.IFS(CORET!$L$1=1,ViscBrine(TABEL!A13,INPUT!$B$7,INPUT!$E$7),CORET!$L$1=2,ViscMeehan(TABEL!A13,INPUT!$B$7,INPUT!$E$8),CORET!$L$1=3,ViscKestin(TABEL!A13,INPUT!$B$7,INPUT!$E$7))</f>
        <v>0.48417640938619749</v>
      </c>
      <c r="Q13" s="77">
        <f>_xlfn.IFS(CORET!$N$1=1,CWaterMeehan(TABEL!A13,INPUT!$B$7,CORET!E24,INPUT!$E$8,N13),CORET!$N$1=2,CWater(TABEL!A13,INPUT!$B$7,I13,B13,INPUT!$E$7,INPUT!$B$18,INPUT!$B$10,INPUT!$B$8))</f>
        <v>3.0530590261595746E-5</v>
      </c>
    </row>
    <row r="14" spans="1:18" ht="15.75" thickBot="1">
      <c r="A14" s="13">
        <v>600</v>
      </c>
      <c r="B14" s="17" t="str">
        <f>IF(A14&gt;=INPUT!$B$18,"Unsaturated","Saturated")</f>
        <v>Unsaturated</v>
      </c>
      <c r="C14" s="14">
        <f>_xlfn.IFS(CORET!$A$1=1,RSGLASO(INPUT!$B$16,INPUT!$B$11,INPUT!$B$7,B14,TABEL!A14,INPUT!$B$18),CORET!$A$1=2,RSSTANDING(A14,INPUT!$B$16,INPUT!$B$7,INPUT!$B$11,B14,INPUT!$B$18),CORET!$A$1=3,RSVASCUESS(INPUT!$E$20,A14,INPUT!$B$16,INPUT!$B$7,INPUT!$E$18,INPUT!$E$19,B14,INPUT!$B$18),CORET!$A$1=4,RSLASATER(A14,INPUT!$B$16,INPUT!$B$7,INPUT!$B$11,INPUT!$B$18,B14),CORET!$A$1=5,RSFARSHAD(TABEL!A14,INPUT!$B$18,INPUT!$B$16,INPUT!$B$7,INPUT!$B$11,B14),CORET!$A$1=6,RSKARTO(INPUT!$E$18,INPUT!$E$19,INPUT!$B$16,INPUT!$E$20,A14,INPUT!$B$18,INPUT!$B$7,B14),CORET!$A$1=7,RSMARHOUN(INPUT!$B$11,INPUT!$B$16,INPUT!$B$7,A14,INPUT!$B$18,B14),CORET!$A$1=8,RSHANAFY(A14,INPUT!$B$18,B14),CORET!$A$1=9,RSVELARDE(A14,INPUT!$B$18,INPUT!$B$11,INPUT!$B$16,INPUT!$B$7,B14),CORET!$A$1=10,RSFARSHAD(TABEL!A14,INPUT!$B$18,INPUT!$B$16,INPUT!$B$7,INPUT!$B$11,TABEL!B14))</f>
        <v>8.771124584531691</v>
      </c>
      <c r="D14" s="14">
        <f>_xlfn.IFS(CORET!$G$1=1,standingBO(INPUT!$B$7,INPUT!$B$11,INPUT!$B$16,G14,B14,TABEL!A14,INPUT!$B$18),CORET!$G$1=2,VasquezzBO(INPUT!$B$7,INPUT!$E$20,INPUT!$B$11,INPUT!$B$16,TABEL!G14,TABEL!B14,TABEL!A14,INPUT!$B$18,INPUT!$E$19,INPUT!$E$18),CORET!$G$1=3,GlasoBo(INPUT!$B$11,INPUT!$B$16,INPUT!$B$7,TABEL!A14,B14,INPUT!$B$18,G14),CORET!$G$1=4,FarshadBo(INPUT!$B$11,INPUT!$B$16,INPUT!$B$7,TABEL!A14,INPUT!$B$18,TABEL!G14,TABEL!B14),CORET!$G$1=5,LeblancBo(G14,TABEL!A14,INPUT!$B$18,INPUT!$B$16,INPUT!$B$7,INPUT!$B$11,TABEL!B14),CORET!$G$1=6,MarhounBo(G14,INPUT!$B$11,INPUT!$B$16,INPUT!$B$7,TABEL!A14,INPUT!$B$18,TABEL!B14),CORET!$G$1=7,KartoBo(G14,INPUT!$E$18,INPUT!$E$19,INPUT!$B$16,INPUT!$E$20,TABEL!A14,INPUT!$B$18,INPUT!$B$7,TABEL!B14),CORET!$G$1=8,AlmaedhaidebBo(G14,INPUT!$E$20,TABEL!A14,INPUT!$B$16,INPUT!$B$7,INPUT!$E$18,INPUT!$E$19,TABEL!B14,INPUT!$B$18),CORET!$G$1=9,AlshammasiBo(G14,INPUT!$B$11,INPUT!$E$20,TABEL!A14,INPUT!$B$16,INPUT!$B$7,INPUT!$E$18,INPUT!$E$19,TABEL!B14,INPUT!$B$18),CORET!$G$1=10,SharkawyBo(G14,INPUT!$B$11,INPUT!$E$20,TABEL!A14,INPUT!$B$16,INPUT!$B$7,INPUT!$E$18,INPUT!$E$19,TABEL!B14,INPUT!$B$18),CORET!$G$1=11,OsmanBo(G14,INPUT!$B$11,INPUT!$E$20,TABEL!A14,INPUT!$B$16,INPUT!$B$7,INPUT!$E$18,INPUT!$E$19,TABEL!B14,INPUT!$B$18),CORET!$G$1=12,HanafyBo(G14,TABEL!A14,INPUT!$B$18,B14))</f>
        <v>1.0199535158082897</v>
      </c>
      <c r="E14" s="14">
        <f>_xlfn.IFS(CORET!$H$1=1,oildensstandard(INPUT!$B$16,C14,INPUT!$B$11,D14,G14,B14),CORET!$H$1=2,oildenshanafy(INPUT!$B$16,INPUT!$B$11,G14,TABEL!A14,INPUT!$B$18,TABEL!B14),CORET!$H$1=3,oildensstanding(INPUT!$B$16,INPUT!$E$20,INPUT!$B$11,TABEL!A14,INPUT!$B$18,TABEL!B14,G14),CORET!$H$1=4,oildensbalance(INPUT!$B$16,INPUT!$B$11,INPUT!$B$18,C14,G14,A14,INPUT!$B$7,D14,B14))</f>
        <v>46.357666069051504</v>
      </c>
      <c r="F14" s="14">
        <f>_xlfn.IFS(CORET!$I$1=1,OilVisBeggs(INPUT!$B$16,INPUT!$B$7,INPUT!$E$20,INPUT!$E$18,INPUT!$E$19,TABEL!B14,TABEL!A14,INPUT!$B$18),CORET!$I$1=2,OilVisBeal(INPUT!$B$16,INPUT!$B$7,INPUT!$E$20,INPUT!$E$18,INPUT!$E$19,TABEL!B14,TABEL!A14,INPUT!$B$18),CORET!$I$1=3,OilVisEgbogah(INPUT!$E$20,TABEL!A14,INPUT!$B$16,INPUT!$B$7,INPUT!$E$18,INPUT!$E$19,TABEL!B14,INPUT!$B$18),CORET!$I$1=4,OilVisPetro(INPUT!$E$20,TABEL!A14,INPUT!$B$16,INPUT!$B$7,INPUT!$E$18,INPUT!$E$19,B14,INPUT!$B$18),CORET!$I$1=5,OilVisMarhoun(INPUT!$B$11,INPUT!$B$16,INPUT!$B$7,TABEL!A14,INPUT!$B$18,TABEL!B14),CORET!$I$1=6,OilVisAlmae(INPUT!$E$20,INPUT!$B$11,TABEL!A14,INPUT!$B$16,INPUT!$B$7,INPUT!$E$18,INPUT!$E$19,B14,INPUT!$B$18),CORET!$I$1=7,OilVisKhan(INPUT!$E$20,INPUT!$B$11,TABEL!A14,INPUT!$B$16,INPUT!$B$7,INPUT!$E$18,INPUT!$E$19,TABEL!B14,INPUT!$B$18),CORET!$I$1=8,OilVisHanafy(INPUT!$B$16,INPUT!$E$20,INPUT!$B$11,TABEL!A14,INPUT!$B$18,TABEL!B14,G14))</f>
        <v>8.6210789717916594</v>
      </c>
      <c r="G14" s="14">
        <f>_xlfn.IFS(CORET!$F$1=1,CoVaquezz(INPUT!$E$20,TABEL!A14,INPUT!$B$16,INPUT!$B$7,INPUT!$E$18,INPUT!$E$19,TABEL!B14,INPUT!$B$18,INPUT!$B$11),CORET!$F$1=2,CoPetrosky(INPUT!$B$11,TABEL!A14,INPUT!$B$16,INPUT!$B$7,TABEL!B14,INPUT!$B$18),CORET!$F$1=3,CoFarshad(INPUT!$E$20,INPUT!$B$11,TABEL!A14,INPUT!$B$16,INPUT!$B$7,INPUT!$E$18,INPUT!$E$19,TABEL!B14,INPUT!$B$18),CORET!$F$1=4,CoAlmehaideb(INPUT!$E$20,TABEL!A14,INPUT!$B$16,INPUT!$B$7,INPUT!$E$18,INPUT!$E$19,TABEL!B14,INPUT!$B$18),CORET!$F$1=5,CoSharkawy(INPUT!$E$20,TABEL!A14,INPUT!$B$16,INPUT!$B$7,INPUT!$E$18,INPUT!$E$19,TABEL!B14,INPUT!$B$18),CORET!$F$1=6,CoKarto(INPUT!$E$20,TABEL!A14,INPUT!$B$16,INPUT!$B$7,INPUT!$E$18,INPUT!$E$19,TABEL!B14,INPUT!$B$18),CORET!$F$1=7,CoAhmed(INPUT!$E$20,TABEL!A14,INPUT!$B$16,INPUT!$B$7,INPUT!$E$18,INPUT!$E$19,TABEL!B14,INPUT!$B$18),CORET!$F$1=8,CoDindoruk(INPUT!$E$20,INPUT!$B$11,TABEL!A14,INPUT!$B$16,INPUT!$B$7,INPUT!$E$18,INPUT!$E$19,B14,INPUT!$B$18),CORET!$F$1=9,CoMcCain(INPUT!$E$20,TABEL!A14,INPUT!$B$16,INPUT!$B$7,INPUT!$E$18,INPUT!$E$19,B14,INPUT!$B$18),CORET!$F$1=10,CoMarhoun(INPUT!$E$20,INPUT!$B$11,TABEL!A14,INPUT!$B$16,INPUT!$B$7,B14,INPUT!$B$18),CORET!$F$1=11,CoCalhoun(INPUT!$E$20,INPUT!$B$11,TABEL!A14,INPUT!$B$16,INPUT!$B$7,INPUT!$E$18,INPUT!$E$19,TABEL!B14,INPUT!$B$18),CORET!$F$1=12,CoLabedi(INPUT!$E$20,INPUT!$B$11,TABEL!A14,INPUT!$B$16,INPUT!$B$7,TABEL!B14,INPUT!$B$18),CORET!$F$1=13,CoDegetto(INPUT!$E$20,INPUT!$B$11,TABEL!A14,INPUT!$B$16,INPUT!$B$7,INPUT!$E$18,INPUT!$E$19,TABEL!B14,INPUT!$B$18))</f>
        <v>4.5511574140078055E-5</v>
      </c>
      <c r="H14" s="14">
        <f>Bggeneral(INPUT!$B$10,TABEL!A14,INPUT!$B$8,INPUT!$B$7,I14)</f>
        <v>5.1890051926441645E-2</v>
      </c>
      <c r="I14" s="14">
        <f>_xlfn.IFS(CORET!$E$1=1,ZAbouKassem(A14/OUTPUT!$B$17,(INPUT!$B$7+459.67)/(OUTPUT!$B$16+459.67),150,10^-12),CORET!$E$1=2,ZBeggsbrill(INPUT!$B$7+459.67,TABEL!A14,OUTPUT!$B$16+459.67,OUTPUT!$B$17),CORET!$E$1=3,hall(TABEL!A14,INPUT!$B$7+459.67,OUTPUT!$B$16+459.67,OUTPUT!$B$17),CORET!$E$1=4,zpapay(INPUT!$B$7+459.67,TABEL!A14,OUTPUT!$B$16+459.67,OUTPUT!$B$17))</f>
        <v>0.91882144767708795</v>
      </c>
      <c r="J14" s="14">
        <f>gasdensgeneral(A14,I14,INPUT!$B$7)</f>
        <v>2.9584877877208324</v>
      </c>
      <c r="K14" s="14">
        <f>_xlfn.IFS(CORET!$J$1=1,ViscGas(TABEL!A14,INPUT!$B$7,INPUT!$B$11,TABEL!I14),CORET!$J$1=2,ViscCarr(TABEL!A14,INPUT!$B$7,INPUT!$B$11,OUTPUT!$B$17,OUTPUT!$B$16,INPUT!$E$15,INPUT!$E$14,INPUT!$E$13),CORET!$J$1=3,VisJossi(TABEL!A14,OUTPUT!$B$17,INPUT!$B$7,OUTPUT!$B$16,I14,INPUT!$B$11),CORET!$J$1=4,VisDean(TABEL!A14,OUTPUT!$B$17,INPUT!$B$7,OUTPUT!$B$16,I14,INPUT!$B$11),CORET!$J$1=5,VisLucas(TABEL!A14,OUTPUT!$B$17,INPUT!$B$7,OUTPUT!$B$16,INPUT!$B$11),CORET!$J$1=6,VisLondono(TABEL!A14,I14,INPUT!$B$7,INPUT!$B$11),CORET!$J$1=7,VisSutton(TABEL!A14,I14,INPUT!$B$7,OUTPUT!$B$16,INPUT!$B$11,OUTPUT!$B$17))</f>
        <v>1.1680941039919859E-2</v>
      </c>
      <c r="L14" s="14">
        <f>_xlfn.IFS(CORET!$K$1=1,CgHall(TABEL!A14,INPUT!$B$7,OUTPUT!$B$16,OUTPUT!$B$17,TABEL!I14),CORET!$K$1=2,CgDranchuk(TABEL!A14,INPUT!$B$7,OUTPUT!$B$16,OUTPUT!$B$17,TABEL!I14))</f>
        <v>1.7887328244811855E-3</v>
      </c>
      <c r="M14" s="12">
        <f>_xlfn.IFS(CORET!$M$1=1,BWMeehan(TABEL!A14,INPUT!$B$7,CORET!$E$18,INPUT!$E$8),CORET!$M$1=2,BWMCain(TABEL!A14,INPUT!$B$7,TABEL!I14,B14,INPUT!$E$7,INPUT!$B$18,INPUT!$B$10,INPUT!$B$8))</f>
        <v>1.004526325660916</v>
      </c>
      <c r="N14" s="14">
        <f>RswMcCain(TABEL!A14,INPUT!$B$7,INPUT!$E$7)</f>
        <v>5.6932860003540373</v>
      </c>
      <c r="O14" s="14">
        <f>Density_Brine(TABEL!A14,INPUT!$B$7,INPUT!$B$18,B14,INPUT!$E$7,TABEL!Q14,INPUT!$E$8)</f>
        <v>62.086974135760677</v>
      </c>
      <c r="P14" s="14">
        <f>_xlfn.IFS(CORET!$L$1=1,ViscBrine(TABEL!A14,INPUT!$B$7,INPUT!$E$7),CORET!$L$1=2,ViscMeehan(TABEL!A14,INPUT!$B$7,INPUT!$E$8),CORET!$L$1=3,ViscKestin(TABEL!A14,INPUT!$B$7,INPUT!$E$7))</f>
        <v>0.48388480043665522</v>
      </c>
      <c r="Q14" s="77">
        <f>_xlfn.IFS(CORET!$N$1=1,CWaterMeehan(TABEL!A14,INPUT!$B$7,CORET!E25,INPUT!$E$8,N14),CORET!$N$1=2,CWater(TABEL!A14,INPUT!$B$7,I14,B14,INPUT!$E$7,INPUT!$B$18,INPUT!$B$10,INPUT!$B$8))</f>
        <v>3.0696948501994739E-5</v>
      </c>
    </row>
    <row r="15" spans="1:18" ht="15.75" thickBot="1">
      <c r="A15" s="13">
        <v>400</v>
      </c>
      <c r="B15" s="17" t="str">
        <f>IF(A15&gt;=INPUT!$B$18,"Unsaturated","Saturated")</f>
        <v>Unsaturated</v>
      </c>
      <c r="C15" s="14">
        <f>_xlfn.IFS(CORET!$A$1=1,RSGLASO(INPUT!$B$16,INPUT!$B$11,INPUT!$B$7,B15,TABEL!A15,INPUT!$B$18),CORET!$A$1=2,RSSTANDING(A15,INPUT!$B$16,INPUT!$B$7,INPUT!$B$11,B15,INPUT!$B$18),CORET!$A$1=3,RSVASCUESS(INPUT!$E$20,A15,INPUT!$B$16,INPUT!$B$7,INPUT!$E$18,INPUT!$E$19,B15,INPUT!$B$18),CORET!$A$1=4,RSLASATER(A15,INPUT!$B$16,INPUT!$B$7,INPUT!$B$11,INPUT!$B$18,B15),CORET!$A$1=5,RSFARSHAD(TABEL!A15,INPUT!$B$18,INPUT!$B$16,INPUT!$B$7,INPUT!$B$11,B15),CORET!$A$1=6,RSKARTO(INPUT!$E$18,INPUT!$E$19,INPUT!$B$16,INPUT!$E$20,A15,INPUT!$B$18,INPUT!$B$7,B15),CORET!$A$1=7,RSMARHOUN(INPUT!$B$11,INPUT!$B$16,INPUT!$B$7,A15,INPUT!$B$18,B15),CORET!$A$1=8,RSHANAFY(A15,INPUT!$B$18,B15),CORET!$A$1=9,RSVELARDE(A15,INPUT!$B$18,INPUT!$B$11,INPUT!$B$16,INPUT!$B$7,B15),CORET!$A$1=10,RSFARSHAD(TABEL!A15,INPUT!$B$18,INPUT!$B$16,INPUT!$B$7,INPUT!$B$11,TABEL!B15))</f>
        <v>8.771124584531691</v>
      </c>
      <c r="D15" s="14">
        <f>_xlfn.IFS(CORET!$G$1=1,standingBO(INPUT!$B$7,INPUT!$B$11,INPUT!$B$16,G15,B15,TABEL!A15,INPUT!$B$18),CORET!$G$1=2,VasquezzBO(INPUT!$B$7,INPUT!$E$20,INPUT!$B$11,INPUT!$B$16,TABEL!G15,TABEL!B15,TABEL!A15,INPUT!$B$18,INPUT!$E$19,INPUT!$E$18),CORET!$G$1=3,GlasoBo(INPUT!$B$11,INPUT!$B$16,INPUT!$B$7,TABEL!A15,B15,INPUT!$B$18,G15),CORET!$G$1=4,FarshadBo(INPUT!$B$11,INPUT!$B$16,INPUT!$B$7,TABEL!A15,INPUT!$B$18,TABEL!G15,TABEL!B15),CORET!$G$1=5,LeblancBo(G15,TABEL!A15,INPUT!$B$18,INPUT!$B$16,INPUT!$B$7,INPUT!$B$11,TABEL!B15),CORET!$G$1=6,MarhounBo(G15,INPUT!$B$11,INPUT!$B$16,INPUT!$B$7,TABEL!A15,INPUT!$B$18,TABEL!B15),CORET!$G$1=7,KartoBo(G15,INPUT!$E$18,INPUT!$E$19,INPUT!$B$16,INPUT!$E$20,TABEL!A15,INPUT!$B$18,INPUT!$B$7,TABEL!B15),CORET!$G$1=8,AlmaedhaidebBo(G15,INPUT!$E$20,TABEL!A15,INPUT!$B$16,INPUT!$B$7,INPUT!$E$18,INPUT!$E$19,TABEL!B15,INPUT!$B$18),CORET!$G$1=9,AlshammasiBo(G15,INPUT!$B$11,INPUT!$E$20,TABEL!A15,INPUT!$B$16,INPUT!$B$7,INPUT!$E$18,INPUT!$E$19,TABEL!B15,INPUT!$B$18),CORET!$G$1=10,SharkawyBo(G15,INPUT!$B$11,INPUT!$E$20,TABEL!A15,INPUT!$B$16,INPUT!$B$7,INPUT!$E$18,INPUT!$E$19,TABEL!B15,INPUT!$B$18),CORET!$G$1=11,OsmanBo(G15,INPUT!$B$11,INPUT!$E$20,TABEL!A15,INPUT!$B$16,INPUT!$B$7,INPUT!$E$18,INPUT!$E$19,TABEL!B15,INPUT!$B$18),CORET!$G$1=12,HanafyBo(G15,TABEL!A15,INPUT!$B$18,B15))</f>
        <v>1.0229216293059242</v>
      </c>
      <c r="E15" s="14">
        <f>_xlfn.IFS(CORET!$H$1=1,oildensstandard(INPUT!$B$16,C15,INPUT!$B$11,D15,G15,B15),CORET!$H$1=2,oildenshanafy(INPUT!$B$16,INPUT!$B$11,G15,TABEL!A15,INPUT!$B$18,TABEL!B15),CORET!$H$1=3,oildensstanding(INPUT!$B$16,INPUT!$E$20,INPUT!$B$11,TABEL!A15,INPUT!$B$18,TABEL!B15,G15),CORET!$H$1=4,oildensbalance(INPUT!$B$16,INPUT!$B$11,INPUT!$B$18,C15,G15,A15,INPUT!$B$7,D15,B15))</f>
        <v>46.179469391471109</v>
      </c>
      <c r="F15" s="14">
        <f>_xlfn.IFS(CORET!$I$1=1,OilVisBeggs(INPUT!$B$16,INPUT!$B$7,INPUT!$E$20,INPUT!$E$18,INPUT!$E$19,TABEL!B15,TABEL!A15,INPUT!$B$18),CORET!$I$1=2,OilVisBeal(INPUT!$B$16,INPUT!$B$7,INPUT!$E$20,INPUT!$E$18,INPUT!$E$19,TABEL!B15,TABEL!A15,INPUT!$B$18),CORET!$I$1=3,OilVisEgbogah(INPUT!$E$20,TABEL!A15,INPUT!$B$16,INPUT!$B$7,INPUT!$E$18,INPUT!$E$19,TABEL!B15,INPUT!$B$18),CORET!$I$1=4,OilVisPetro(INPUT!$E$20,TABEL!A15,INPUT!$B$16,INPUT!$B$7,INPUT!$E$18,INPUT!$E$19,B15,INPUT!$B$18),CORET!$I$1=5,OilVisMarhoun(INPUT!$B$11,INPUT!$B$16,INPUT!$B$7,TABEL!A15,INPUT!$B$18,TABEL!B15),CORET!$I$1=6,OilVisAlmae(INPUT!$E$20,INPUT!$B$11,TABEL!A15,INPUT!$B$16,INPUT!$B$7,INPUT!$E$18,INPUT!$E$19,B15,INPUT!$B$18),CORET!$I$1=7,OilVisKhan(INPUT!$E$20,INPUT!$B$11,TABEL!A15,INPUT!$B$16,INPUT!$B$7,INPUT!$E$18,INPUT!$E$19,TABEL!B15,INPUT!$B$18),CORET!$I$1=8,OilVisHanafy(INPUT!$B$16,INPUT!$E$20,INPUT!$B$11,TABEL!A15,INPUT!$B$18,TABEL!B15,G15))</f>
        <v>8.4571331715991462</v>
      </c>
      <c r="G15" s="14">
        <f>_xlfn.IFS(CORET!$F$1=1,CoVaquezz(INPUT!$E$20,TABEL!A15,INPUT!$B$16,INPUT!$B$7,INPUT!$E$18,INPUT!$E$19,TABEL!B15,INPUT!$B$18,INPUT!$B$11),CORET!$F$1=2,CoPetrosky(INPUT!$B$11,TABEL!A15,INPUT!$B$16,INPUT!$B$7,TABEL!B15,INPUT!$B$18),CORET!$F$1=3,CoFarshad(INPUT!$E$20,INPUT!$B$11,TABEL!A15,INPUT!$B$16,INPUT!$B$7,INPUT!$E$18,INPUT!$E$19,TABEL!B15,INPUT!$B$18),CORET!$F$1=4,CoAlmehaideb(INPUT!$E$20,TABEL!A15,INPUT!$B$16,INPUT!$B$7,INPUT!$E$18,INPUT!$E$19,TABEL!B15,INPUT!$B$18),CORET!$F$1=5,CoSharkawy(INPUT!$E$20,TABEL!A15,INPUT!$B$16,INPUT!$B$7,INPUT!$E$18,INPUT!$E$19,TABEL!B15,INPUT!$B$18),CORET!$F$1=6,CoKarto(INPUT!$E$20,TABEL!A15,INPUT!$B$16,INPUT!$B$7,INPUT!$E$18,INPUT!$E$19,TABEL!B15,INPUT!$B$18),CORET!$F$1=7,CoAhmed(INPUT!$E$20,TABEL!A15,INPUT!$B$16,INPUT!$B$7,INPUT!$E$18,INPUT!$E$19,TABEL!B15,INPUT!$B$18),CORET!$F$1=8,CoDindoruk(INPUT!$E$20,INPUT!$B$11,TABEL!A15,INPUT!$B$16,INPUT!$B$7,INPUT!$E$18,INPUT!$E$19,B15,INPUT!$B$18),CORET!$F$1=9,CoMcCain(INPUT!$E$20,TABEL!A15,INPUT!$B$16,INPUT!$B$7,INPUT!$E$18,INPUT!$E$19,B15,INPUT!$B$18),CORET!$F$1=10,CoMarhoun(INPUT!$E$20,INPUT!$B$11,TABEL!A15,INPUT!$B$16,INPUT!$B$7,B15,INPUT!$B$18),CORET!$F$1=11,CoCalhoun(INPUT!$E$20,INPUT!$B$11,TABEL!A15,INPUT!$B$16,INPUT!$B$7,INPUT!$E$18,INPUT!$E$19,TABEL!B15,INPUT!$B$18),CORET!$F$1=12,CoLabedi(INPUT!$E$20,INPUT!$B$11,TABEL!A15,INPUT!$B$16,INPUT!$B$7,TABEL!B15,INPUT!$B$18),CORET!$F$1=13,CoDegetto(INPUT!$E$20,INPUT!$B$11,TABEL!A15,INPUT!$B$16,INPUT!$B$7,INPUT!$E$18,INPUT!$E$19,TABEL!B15,INPUT!$B$18))</f>
        <v>6.826736121011709E-5</v>
      </c>
      <c r="H15" s="14">
        <f>Bggeneral(INPUT!$B$10,TABEL!A15,INPUT!$B$8,INPUT!$B$7,I15)</f>
        <v>8.0069978468325365E-2</v>
      </c>
      <c r="I15" s="14">
        <f>_xlfn.IFS(CORET!$E$1=1,ZAbouKassem(A15/OUTPUT!$B$17,(INPUT!$B$7+459.67)/(OUTPUT!$B$16+459.67),150,10^-12),CORET!$E$1=2,ZBeggsbrill(INPUT!$B$7+459.67,TABEL!A15,OUTPUT!$B$16+459.67,OUTPUT!$B$17),CORET!$E$1=3,hall(TABEL!A15,INPUT!$B$7+459.67,OUTPUT!$B$16+459.67,OUTPUT!$B$17),CORET!$E$1=4,zpapay(INPUT!$B$7+459.67,TABEL!A15,OUTPUT!$B$16+459.67,OUTPUT!$B$17))</f>
        <v>0.9452038274572222</v>
      </c>
      <c r="J15" s="14">
        <f>gasdensgeneral(A15,I15,INPUT!$B$7)</f>
        <v>1.9172739629161559</v>
      </c>
      <c r="K15" s="14">
        <f>_xlfn.IFS(CORET!$J$1=1,ViscGas(TABEL!A15,INPUT!$B$7,INPUT!$B$11,TABEL!I15),CORET!$J$1=2,ViscCarr(TABEL!A15,INPUT!$B$7,INPUT!$B$11,OUTPUT!$B$17,OUTPUT!$B$16,INPUT!$E$15,INPUT!$E$14,INPUT!$E$13),CORET!$J$1=3,VisJossi(TABEL!A15,OUTPUT!$B$17,INPUT!$B$7,OUTPUT!$B$16,I15,INPUT!$B$11),CORET!$J$1=4,VisDean(TABEL!A15,OUTPUT!$B$17,INPUT!$B$7,OUTPUT!$B$16,I15,INPUT!$B$11),CORET!$J$1=5,VisLucas(TABEL!A15,OUTPUT!$B$17,INPUT!$B$7,OUTPUT!$B$16,INPUT!$B$11),CORET!$J$1=6,VisLondono(TABEL!A15,I15,INPUT!$B$7,INPUT!$B$11),CORET!$J$1=7,VisSutton(TABEL!A15,I15,INPUT!$B$7,OUTPUT!$B$16,INPUT!$B$11,OUTPUT!$B$17))</f>
        <v>1.0990871964429971E-2</v>
      </c>
      <c r="L15" s="14">
        <f>_xlfn.IFS(CORET!$K$1=1,CgHall(TABEL!A15,INPUT!$B$7,OUTPUT!$B$16,OUTPUT!$B$17,TABEL!I15),CORET!$K$1=2,CgDranchuk(TABEL!A15,INPUT!$B$7,OUTPUT!$B$16,OUTPUT!$B$17,TABEL!I15))</f>
        <v>2.6309413625690411E-3</v>
      </c>
      <c r="M15" s="12">
        <f>_xlfn.IFS(CORET!$M$1=1,BWMeehan(TABEL!A15,INPUT!$B$7,CORET!$E$18,INPUT!$E$8),CORET!$M$1=2,BWMCain(TABEL!A15,INPUT!$B$7,TABEL!I15,B15,INPUT!$E$7,INPUT!$B$18,INPUT!$B$10,INPUT!$B$8))</f>
        <v>1.0098290743713401</v>
      </c>
      <c r="N15" s="14">
        <f>RswMcCain(TABEL!A15,INPUT!$B$7,INPUT!$E$7)</f>
        <v>4.7556425113153953</v>
      </c>
      <c r="O15" s="14">
        <f>Density_Brine(TABEL!A15,INPUT!$B$7,INPUT!$B$18,B15,INPUT!$E$7,TABEL!Q15,INPUT!$E$8)</f>
        <v>61.760947058121332</v>
      </c>
      <c r="P15" s="14">
        <f>_xlfn.IFS(CORET!$L$1=1,ViscBrine(TABEL!A15,INPUT!$B$7,INPUT!$E$7),CORET!$L$1=2,ViscMeehan(TABEL!A15,INPUT!$B$7,INPUT!$E$8),CORET!$L$1=3,ViscKestin(TABEL!A15,INPUT!$B$7,INPUT!$E$7))</f>
        <v>0.48359319148711283</v>
      </c>
      <c r="Q15" s="77">
        <f>_xlfn.IFS(CORET!$N$1=1,CWaterMeehan(TABEL!A15,INPUT!$B$7,CORET!E26,INPUT!$E$8,N15),CORET!$N$1=2,CWater(TABEL!A15,INPUT!$B$7,I15,B15,INPUT!$E$7,INPUT!$B$18,INPUT!$B$10,INPUT!$B$8))</f>
        <v>3.086322492110887E-5</v>
      </c>
    </row>
    <row r="16" spans="1:18" ht="15.75" thickBot="1">
      <c r="A16" s="13">
        <v>500</v>
      </c>
      <c r="B16" s="17" t="str">
        <f>IF(A16&gt;=INPUT!$B$18,"Unsaturated","Saturated")</f>
        <v>Unsaturated</v>
      </c>
      <c r="C16" s="14">
        <f>_xlfn.IFS(CORET!$A$1=1,RSGLASO(INPUT!$B$16,INPUT!$B$11,INPUT!$B$7,B16,TABEL!A16,INPUT!$B$18),CORET!$A$1=2,RSSTANDING(A16,INPUT!$B$16,INPUT!$B$7,INPUT!$B$11,B16,INPUT!$B$18),CORET!$A$1=3,RSVASCUESS(INPUT!$E$20,A16,INPUT!$B$16,INPUT!$B$7,INPUT!$E$18,INPUT!$E$19,B16,INPUT!$B$18),CORET!$A$1=4,RSLASATER(A16,INPUT!$B$16,INPUT!$B$7,INPUT!$B$11,INPUT!$B$18,B16),CORET!$A$1=5,RSFARSHAD(TABEL!A16,INPUT!$B$18,INPUT!$B$16,INPUT!$B$7,INPUT!$B$11,B16),CORET!$A$1=6,RSKARTO(INPUT!$E$18,INPUT!$E$19,INPUT!$B$16,INPUT!$E$20,A16,INPUT!$B$18,INPUT!$B$7,B16),CORET!$A$1=7,RSMARHOUN(INPUT!$B$11,INPUT!$B$16,INPUT!$B$7,A16,INPUT!$B$18,B16),CORET!$A$1=8,RSHANAFY(A16,INPUT!$B$18,B16),CORET!$A$1=9,RSVELARDE(A16,INPUT!$B$18,INPUT!$B$11,INPUT!$B$16,INPUT!$B$7,B16),CORET!$A$1=10,RSFARSHAD(TABEL!A16,INPUT!$B$18,INPUT!$B$16,INPUT!$B$7,INPUT!$B$11,TABEL!B16))</f>
        <v>8.771124584531691</v>
      </c>
      <c r="D16" s="14">
        <f>_xlfn.IFS(CORET!$G$1=1,standingBO(INPUT!$B$7,INPUT!$B$11,INPUT!$B$16,G16,B16,TABEL!A16,INPUT!$B$18),CORET!$G$1=2,VasquezzBO(INPUT!$B$7,INPUT!$E$20,INPUT!$B$11,INPUT!$B$16,TABEL!G16,TABEL!B16,TABEL!A16,INPUT!$B$18,INPUT!$E$19,INPUT!$E$18),CORET!$G$1=3,GlasoBo(INPUT!$B$11,INPUT!$B$16,INPUT!$B$7,TABEL!A16,B16,INPUT!$B$18,G16),CORET!$G$1=4,FarshadBo(INPUT!$B$11,INPUT!$B$16,INPUT!$B$7,TABEL!A16,INPUT!$B$18,TABEL!G16,TABEL!B16),CORET!$G$1=5,LeblancBo(G16,TABEL!A16,INPUT!$B$18,INPUT!$B$16,INPUT!$B$7,INPUT!$B$11,TABEL!B16),CORET!$G$1=6,MarhounBo(G16,INPUT!$B$11,INPUT!$B$16,INPUT!$B$7,TABEL!A16,INPUT!$B$18,TABEL!B16),CORET!$G$1=7,KartoBo(G16,INPUT!$E$18,INPUT!$E$19,INPUT!$B$16,INPUT!$E$20,TABEL!A16,INPUT!$B$18,INPUT!$B$7,TABEL!B16),CORET!$G$1=8,AlmaedhaidebBo(G16,INPUT!$E$20,TABEL!A16,INPUT!$B$16,INPUT!$B$7,INPUT!$E$18,INPUT!$E$19,TABEL!B16,INPUT!$B$18),CORET!$G$1=9,AlshammasiBo(G16,INPUT!$B$11,INPUT!$E$20,TABEL!A16,INPUT!$B$16,INPUT!$B$7,INPUT!$E$18,INPUT!$E$19,TABEL!B16,INPUT!$B$18),CORET!$G$1=10,SharkawyBo(G16,INPUT!$B$11,INPUT!$E$20,TABEL!A16,INPUT!$B$16,INPUT!$B$7,INPUT!$E$18,INPUT!$E$19,TABEL!B16,INPUT!$B$18),CORET!$G$1=11,OsmanBo(G16,INPUT!$B$11,INPUT!$E$20,TABEL!A16,INPUT!$B$16,INPUT!$B$7,INPUT!$E$18,INPUT!$E$19,TABEL!B16,INPUT!$B$18),CORET!$G$1=12,HanafyBo(G16,TABEL!A16,INPUT!$B$18,B16))</f>
        <v>1.0211397263306909</v>
      </c>
      <c r="E16" s="14">
        <f>_xlfn.IFS(CORET!$H$1=1,oildensstandard(INPUT!$B$16,C16,INPUT!$B$11,D16,G16,B16),CORET!$H$1=2,oildenshanafy(INPUT!$B$16,INPUT!$B$11,G16,TABEL!A16,INPUT!$B$18,TABEL!B16),CORET!$H$1=3,oildensstanding(INPUT!$B$16,INPUT!$E$20,INPUT!$B$11,TABEL!A16,INPUT!$B$18,TABEL!B16,G16),CORET!$H$1=4,oildensbalance(INPUT!$B$16,INPUT!$B$11,INPUT!$B$18,C16,G16,A16,INPUT!$B$7,D16,B16))</f>
        <v>46.282018525202922</v>
      </c>
      <c r="F16" s="14">
        <f>_xlfn.IFS(CORET!$I$1=1,OilVisBeggs(INPUT!$B$16,INPUT!$B$7,INPUT!$E$20,INPUT!$E$18,INPUT!$E$19,TABEL!B16,TABEL!A16,INPUT!$B$18),CORET!$I$1=2,OilVisBeal(INPUT!$B$16,INPUT!$B$7,INPUT!$E$20,INPUT!$E$18,INPUT!$E$19,TABEL!B16,TABEL!A16,INPUT!$B$18),CORET!$I$1=3,OilVisEgbogah(INPUT!$E$20,TABEL!A16,INPUT!$B$16,INPUT!$B$7,INPUT!$E$18,INPUT!$E$19,TABEL!B16,INPUT!$B$18),CORET!$I$1=4,OilVisPetro(INPUT!$E$20,TABEL!A16,INPUT!$B$16,INPUT!$B$7,INPUT!$E$18,INPUT!$E$19,B16,INPUT!$B$18),CORET!$I$1=5,OilVisMarhoun(INPUT!$B$11,INPUT!$B$16,INPUT!$B$7,TABEL!A16,INPUT!$B$18,TABEL!B16),CORET!$I$1=6,OilVisAlmae(INPUT!$E$20,INPUT!$B$11,TABEL!A16,INPUT!$B$16,INPUT!$B$7,INPUT!$E$18,INPUT!$E$19,B16,INPUT!$B$18),CORET!$I$1=7,OilVisKhan(INPUT!$E$20,INPUT!$B$11,TABEL!A16,INPUT!$B$16,INPUT!$B$7,INPUT!$E$18,INPUT!$E$19,TABEL!B16,INPUT!$B$18),CORET!$I$1=8,OilVisHanafy(INPUT!$B$16,INPUT!$E$20,INPUT!$B$11,TABEL!A16,INPUT!$B$18,TABEL!B16,G16))</f>
        <v>8.5387126047967605</v>
      </c>
      <c r="G16" s="14">
        <f>_xlfn.IFS(CORET!$F$1=1,CoVaquezz(INPUT!$E$20,TABEL!A16,INPUT!$B$16,INPUT!$B$7,INPUT!$E$18,INPUT!$E$19,TABEL!B16,INPUT!$B$18,INPUT!$B$11),CORET!$F$1=2,CoPetrosky(INPUT!$B$11,TABEL!A16,INPUT!$B$16,INPUT!$B$7,TABEL!B16,INPUT!$B$18),CORET!$F$1=3,CoFarshad(INPUT!$E$20,INPUT!$B$11,TABEL!A16,INPUT!$B$16,INPUT!$B$7,INPUT!$E$18,INPUT!$E$19,TABEL!B16,INPUT!$B$18),CORET!$F$1=4,CoAlmehaideb(INPUT!$E$20,TABEL!A16,INPUT!$B$16,INPUT!$B$7,INPUT!$E$18,INPUT!$E$19,TABEL!B16,INPUT!$B$18),CORET!$F$1=5,CoSharkawy(INPUT!$E$20,TABEL!A16,INPUT!$B$16,INPUT!$B$7,INPUT!$E$18,INPUT!$E$19,TABEL!B16,INPUT!$B$18),CORET!$F$1=6,CoKarto(INPUT!$E$20,TABEL!A16,INPUT!$B$16,INPUT!$B$7,INPUT!$E$18,INPUT!$E$19,TABEL!B16,INPUT!$B$18),CORET!$F$1=7,CoAhmed(INPUT!$E$20,TABEL!A16,INPUT!$B$16,INPUT!$B$7,INPUT!$E$18,INPUT!$E$19,TABEL!B16,INPUT!$B$18),CORET!$F$1=8,CoDindoruk(INPUT!$E$20,INPUT!$B$11,TABEL!A16,INPUT!$B$16,INPUT!$B$7,INPUT!$E$18,INPUT!$E$19,B16,INPUT!$B$18),CORET!$F$1=9,CoMcCain(INPUT!$E$20,TABEL!A16,INPUT!$B$16,INPUT!$B$7,INPUT!$E$18,INPUT!$E$19,B16,INPUT!$B$18),CORET!$F$1=10,CoMarhoun(INPUT!$E$20,INPUT!$B$11,TABEL!A16,INPUT!$B$16,INPUT!$B$7,B16,INPUT!$B$18),CORET!$F$1=11,CoCalhoun(INPUT!$E$20,INPUT!$B$11,TABEL!A16,INPUT!$B$16,INPUT!$B$7,INPUT!$E$18,INPUT!$E$19,TABEL!B16,INPUT!$B$18),CORET!$F$1=12,CoLabedi(INPUT!$E$20,INPUT!$B$11,TABEL!A16,INPUT!$B$16,INPUT!$B$7,TABEL!B16,INPUT!$B$18),CORET!$F$1=13,CoDegetto(INPUT!$E$20,INPUT!$B$11,TABEL!A16,INPUT!$B$16,INPUT!$B$7,INPUT!$E$18,INPUT!$E$19,TABEL!B16,INPUT!$B$18))</f>
        <v>5.461388896809367E-5</v>
      </c>
      <c r="H16" s="14">
        <f>Bggeneral(INPUT!$B$10,TABEL!A16,INPUT!$B$8,INPUT!$B$7,I16)</f>
        <v>6.3153982619813559E-2</v>
      </c>
      <c r="I16" s="14">
        <f>_xlfn.IFS(CORET!$E$1=1,ZAbouKassem(A16/OUTPUT!$B$17,(INPUT!$B$7+459.67)/(OUTPUT!$B$16+459.67),150,10^-12),CORET!$E$1=2,ZBeggsbrill(INPUT!$B$7+459.67,TABEL!A16,OUTPUT!$B$16+459.67,OUTPUT!$B$17),CORET!$E$1=3,hall(TABEL!A16,INPUT!$B$7+459.67,OUTPUT!$B$16+459.67,OUTPUT!$B$17),CORET!$E$1=4,zpapay(INPUT!$B$7+459.67,TABEL!A16,OUTPUT!$B$16+459.67,OUTPUT!$B$17))</f>
        <v>0.93189400124274713</v>
      </c>
      <c r="J16" s="14">
        <f>gasdensgeneral(A16,I16,INPUT!$B$7)</f>
        <v>2.430821914316045</v>
      </c>
      <c r="K16" s="14">
        <f>_xlfn.IFS(CORET!$J$1=1,ViscGas(TABEL!A16,INPUT!$B$7,INPUT!$B$11,TABEL!I16),CORET!$J$1=2,ViscCarr(TABEL!A16,INPUT!$B$7,INPUT!$B$11,OUTPUT!$B$17,OUTPUT!$B$16,INPUT!$E$15,INPUT!$E$14,INPUT!$E$13),CORET!$J$1=3,VisJossi(TABEL!A16,OUTPUT!$B$17,INPUT!$B$7,OUTPUT!$B$16,I16,INPUT!$B$11),CORET!$J$1=4,VisDean(TABEL!A16,OUTPUT!$B$17,INPUT!$B$7,OUTPUT!$B$16,I16,INPUT!$B$11),CORET!$J$1=5,VisLucas(TABEL!A16,OUTPUT!$B$17,INPUT!$B$7,OUTPUT!$B$16,INPUT!$B$11),CORET!$J$1=6,VisLondono(TABEL!A16,I16,INPUT!$B$7,INPUT!$B$11),CORET!$J$1=7,VisSutton(TABEL!A16,I16,INPUT!$B$7,OUTPUT!$B$16,INPUT!$B$11,OUTPUT!$B$17))</f>
        <v>1.1333381212138468E-2</v>
      </c>
      <c r="L16" s="14">
        <f>_xlfn.IFS(CORET!$K$1=1,CgHall(TABEL!A16,INPUT!$B$7,OUTPUT!$B$16,OUTPUT!$B$17,TABEL!I16),CORET!$K$1=2,CgDranchuk(TABEL!A16,INPUT!$B$7,OUTPUT!$B$16,OUTPUT!$B$17,TABEL!I16))</f>
        <v>2.1269913464802368E-3</v>
      </c>
      <c r="M16" s="12">
        <f>_xlfn.IFS(CORET!$M$1=1,BWMeehan(TABEL!A16,INPUT!$B$7,CORET!$E$18,INPUT!$E$8),CORET!$M$1=2,BWMCain(TABEL!A16,INPUT!$B$7,TABEL!I16,B16,INPUT!$E$7,INPUT!$B$18,INPUT!$B$10,INPUT!$B$8))</f>
        <v>1.0070965937552667</v>
      </c>
      <c r="N16" s="14">
        <f>RswMcCain(TABEL!A16,INPUT!$B$7,INPUT!$E$7)</f>
        <v>5.2264837361463039</v>
      </c>
      <c r="O16" s="14">
        <f>Density_Brine(TABEL!A16,INPUT!$B$7,INPUT!$B$18,B16,INPUT!$E$7,TABEL!Q16,INPUT!$E$8)</f>
        <v>61.928518462605354</v>
      </c>
      <c r="P16" s="14">
        <f>_xlfn.IFS(CORET!$L$1=1,ViscBrine(TABEL!A16,INPUT!$B$7,INPUT!$E$7),CORET!$L$1=2,ViscMeehan(TABEL!A16,INPUT!$B$7,INPUT!$E$8),CORET!$L$1=3,ViscKestin(TABEL!A16,INPUT!$B$7,INPUT!$E$7))</f>
        <v>0.48373899596188402</v>
      </c>
      <c r="Q16" s="77">
        <f>_xlfn.IFS(CORET!$N$1=1,CWaterMeehan(TABEL!A16,INPUT!$B$7,CORET!E27,INPUT!$E$8,N16),CORET!$N$1=2,CWater(TABEL!A16,INPUT!$B$7,I16,B16,INPUT!$E$7,INPUT!$B$18,INPUT!$B$10,INPUT!$B$8))</f>
        <v>3.0780096990954209E-5</v>
      </c>
    </row>
    <row r="17" spans="1:17" ht="15.75" thickBot="1">
      <c r="A17" s="13">
        <v>113</v>
      </c>
      <c r="B17" s="17" t="str">
        <f>IF(A17&gt;=INPUT!$B$18,"Unsaturated","Saturated")</f>
        <v>Saturated</v>
      </c>
      <c r="C17" s="14">
        <f>_xlfn.IFS(CORET!$A$1=1,RSGLASO(INPUT!$B$16,INPUT!$B$11,INPUT!$B$7,B17,TABEL!A17,INPUT!$B$18),CORET!$A$1=2,RSSTANDING(A17,INPUT!$B$16,INPUT!$B$7,INPUT!$B$11,B17,INPUT!$B$18),CORET!$A$1=3,RSVASCUESS(INPUT!$E$20,A17,INPUT!$B$16,INPUT!$B$7,INPUT!$E$18,INPUT!$E$19,B17,INPUT!$B$18),CORET!$A$1=4,RSLASATER(A17,INPUT!$B$16,INPUT!$B$7,INPUT!$B$11,INPUT!$B$18,B17),CORET!$A$1=5,RSFARSHAD(TABEL!A17,INPUT!$B$18,INPUT!$B$16,INPUT!$B$7,INPUT!$B$11,B17),CORET!$A$1=6,RSKARTO(INPUT!$E$18,INPUT!$E$19,INPUT!$B$16,INPUT!$E$20,A17,INPUT!$B$18,INPUT!$B$7,B17),CORET!$A$1=7,RSMARHOUN(INPUT!$B$11,INPUT!$B$16,INPUT!$B$7,A17,INPUT!$B$18,B17),CORET!$A$1=8,RSHANAFY(A17,INPUT!$B$18,B17),CORET!$A$1=9,RSVELARDE(A17,INPUT!$B$18,INPUT!$B$11,INPUT!$B$16,INPUT!$B$7,B17),CORET!$A$1=10,RSFARSHAD(TABEL!A17,INPUT!$B$18,INPUT!$B$16,INPUT!$B$7,INPUT!$B$11,TABEL!B17))</f>
        <v>7.5862500194256386</v>
      </c>
      <c r="D17" s="14">
        <f>_xlfn.IFS(CORET!$G$1=1,standingBO(INPUT!$B$7,INPUT!$B$11,INPUT!$B$16,G17,B17,TABEL!A17,INPUT!$B$18),CORET!$G$1=2,VasquezzBO(INPUT!$B$7,INPUT!$E$20,INPUT!$B$11,INPUT!$B$16,TABEL!G17,TABEL!B17,TABEL!A17,INPUT!$B$18,INPUT!$E$19,INPUT!$E$18),CORET!$G$1=3,GlasoBo(INPUT!$B$11,INPUT!$B$16,INPUT!$B$7,TABEL!A17,B17,INPUT!$B$18,G17),CORET!$G$1=4,FarshadBo(INPUT!$B$11,INPUT!$B$16,INPUT!$B$7,TABEL!A17,INPUT!$B$18,TABEL!G17,TABEL!B17),CORET!$G$1=5,LeblancBo(G17,TABEL!A17,INPUT!$B$18,INPUT!$B$16,INPUT!$B$7,INPUT!$B$11,TABEL!B17),CORET!$G$1=6,MarhounBo(G17,INPUT!$B$11,INPUT!$B$16,INPUT!$B$7,TABEL!A17,INPUT!$B$18,TABEL!B17),CORET!$G$1=7,KartoBo(G17,INPUT!$E$18,INPUT!$E$19,INPUT!$B$16,INPUT!$E$20,TABEL!A17,INPUT!$B$18,INPUT!$B$7,TABEL!B17),CORET!$G$1=8,AlmaedhaidebBo(G17,INPUT!$E$20,TABEL!A17,INPUT!$B$16,INPUT!$B$7,INPUT!$E$18,INPUT!$E$19,TABEL!B17,INPUT!$B$18),CORET!$G$1=9,AlshammasiBo(G17,INPUT!$B$11,INPUT!$E$20,TABEL!A17,INPUT!$B$16,INPUT!$B$7,INPUT!$E$18,INPUT!$E$19,TABEL!B17,INPUT!$B$18),CORET!$G$1=10,SharkawyBo(G17,INPUT!$B$11,INPUT!$E$20,TABEL!A17,INPUT!$B$16,INPUT!$B$7,INPUT!$E$18,INPUT!$E$19,TABEL!B17,INPUT!$B$18),CORET!$G$1=11,OsmanBo(G17,INPUT!$B$11,INPUT!$E$20,TABEL!A17,INPUT!$B$16,INPUT!$B$7,INPUT!$E$18,INPUT!$E$19,TABEL!B17,INPUT!$B$18),CORET!$G$1=12,HanafyBo(G17,TABEL!A17,INPUT!$B$18,B17))</f>
        <v>1.041811211767691</v>
      </c>
      <c r="E17" s="14">
        <f>_xlfn.IFS(CORET!$H$1=1,oildensstandard(INPUT!$B$16,C17,INPUT!$B$11,D17,G17,B17),CORET!$H$1=2,oildenshanafy(INPUT!$B$16,INPUT!$B$11,G17,TABEL!A17,INPUT!$B$18,TABEL!B17),CORET!$H$1=3,oildensstanding(INPUT!$B$16,INPUT!$E$20,INPUT!$B$11,TABEL!A17,INPUT!$B$18,TABEL!B17,G17),CORET!$H$1=4,oildensbalance(INPUT!$B$16,INPUT!$B$11,INPUT!$B$18,C17,G17,A17,INPUT!$B$7,D17,B17))</f>
        <v>45.289486551228812</v>
      </c>
      <c r="F17" s="14">
        <f>_xlfn.IFS(CORET!$I$1=1,OilVisBeggs(INPUT!$B$16,INPUT!$B$7,INPUT!$E$20,INPUT!$E$18,INPUT!$E$19,TABEL!B17,TABEL!A17,INPUT!$B$18),CORET!$I$1=2,OilVisBeal(INPUT!$B$16,INPUT!$B$7,INPUT!$E$20,INPUT!$E$18,INPUT!$E$19,TABEL!B17,TABEL!A17,INPUT!$B$18),CORET!$I$1=3,OilVisEgbogah(INPUT!$E$20,TABEL!A17,INPUT!$B$16,INPUT!$B$7,INPUT!$E$18,INPUT!$E$19,TABEL!B17,INPUT!$B$18),CORET!$I$1=4,OilVisPetro(INPUT!$E$20,TABEL!A17,INPUT!$B$16,INPUT!$B$7,INPUT!$E$18,INPUT!$E$19,B17,INPUT!$B$18),CORET!$I$1=5,OilVisMarhoun(INPUT!$B$11,INPUT!$B$16,INPUT!$B$7,TABEL!A17,INPUT!$B$18,TABEL!B17),CORET!$I$1=6,OilVisAlmae(INPUT!$E$20,INPUT!$B$11,TABEL!A17,INPUT!$B$16,INPUT!$B$7,INPUT!$E$18,INPUT!$E$19,B17,INPUT!$B$18),CORET!$I$1=7,OilVisKhan(INPUT!$E$20,INPUT!$B$11,TABEL!A17,INPUT!$B$16,INPUT!$B$7,INPUT!$E$18,INPUT!$E$19,TABEL!B17,INPUT!$B$18),CORET!$I$1=8,OilVisHanafy(INPUT!$B$16,INPUT!$E$20,INPUT!$B$11,TABEL!A17,INPUT!$B$18,TABEL!B17,G17))</f>
        <v>8.8289483922937801</v>
      </c>
      <c r="G17" s="14">
        <f>_xlfn.IFS(CORET!$F$1=1,CoVaquezz(INPUT!$E$20,TABEL!A17,INPUT!$B$16,INPUT!$B$7,INPUT!$E$18,INPUT!$E$19,TABEL!B17,INPUT!$B$18,INPUT!$B$11),CORET!$F$1=2,CoPetrosky(INPUT!$B$11,TABEL!A17,INPUT!$B$16,INPUT!$B$7,TABEL!B17,INPUT!$B$18),CORET!$F$1=3,CoFarshad(INPUT!$E$20,INPUT!$B$11,TABEL!A17,INPUT!$B$16,INPUT!$B$7,INPUT!$E$18,INPUT!$E$19,TABEL!B17,INPUT!$B$18),CORET!$F$1=4,CoAlmehaideb(INPUT!$E$20,TABEL!A17,INPUT!$B$16,INPUT!$B$7,INPUT!$E$18,INPUT!$E$19,TABEL!B17,INPUT!$B$18),CORET!$F$1=5,CoSharkawy(INPUT!$E$20,TABEL!A17,INPUT!$B$16,INPUT!$B$7,INPUT!$E$18,INPUT!$E$19,TABEL!B17,INPUT!$B$18),CORET!$F$1=6,CoKarto(INPUT!$E$20,TABEL!A17,INPUT!$B$16,INPUT!$B$7,INPUT!$E$18,INPUT!$E$19,TABEL!B17,INPUT!$B$18),CORET!$F$1=7,CoAhmed(INPUT!$E$20,TABEL!A17,INPUT!$B$16,INPUT!$B$7,INPUT!$E$18,INPUT!$E$19,TABEL!B17,INPUT!$B$18),CORET!$F$1=8,CoDindoruk(INPUT!$E$20,INPUT!$B$11,TABEL!A17,INPUT!$B$16,INPUT!$B$7,INPUT!$E$18,INPUT!$E$19,B17,INPUT!$B$18),CORET!$F$1=9,CoMcCain(INPUT!$E$20,TABEL!A17,INPUT!$B$16,INPUT!$B$7,INPUT!$E$18,INPUT!$E$19,B17,INPUT!$B$18),CORET!$F$1=10,CoMarhoun(INPUT!$E$20,INPUT!$B$11,TABEL!A17,INPUT!$B$16,INPUT!$B$7,B17,INPUT!$B$18),CORET!$F$1=11,CoCalhoun(INPUT!$E$20,INPUT!$B$11,TABEL!A17,INPUT!$B$16,INPUT!$B$7,INPUT!$E$18,INPUT!$E$19,TABEL!B17,INPUT!$B$18),CORET!$F$1=12,CoLabedi(INPUT!$E$20,INPUT!$B$11,TABEL!A17,INPUT!$B$16,INPUT!$B$7,TABEL!B17,INPUT!$B$18),CORET!$F$1=13,CoDegetto(INPUT!$E$20,INPUT!$B$11,TABEL!A17,INPUT!$B$16,INPUT!$B$7,INPUT!$E$18,INPUT!$E$19,TABEL!B17,INPUT!$B$18))</f>
        <v>6.4968591305550926E-3</v>
      </c>
      <c r="H17" s="14">
        <f>Bggeneral(INPUT!$B$10,TABEL!A17,INPUT!$B$8,INPUT!$B$7,I17)</f>
        <v>0.29516914688164531</v>
      </c>
      <c r="I17" s="14">
        <f>_xlfn.IFS(CORET!$E$1=1,ZAbouKassem(A17/OUTPUT!$B$17,(INPUT!$B$7+459.67)/(OUTPUT!$B$16+459.67),150,10^-12),CORET!$E$1=2,ZBeggsbrill(INPUT!$B$7+459.67,TABEL!A17,OUTPUT!$B$16+459.67,OUTPUT!$B$17),CORET!$E$1=3,hall(TABEL!A17,INPUT!$B$7+459.67,OUTPUT!$B$16+459.67,OUTPUT!$B$17),CORET!$E$1=4,zpapay(INPUT!$B$7+459.67,TABEL!A17,OUTPUT!$B$16+459.67,OUTPUT!$B$17))</f>
        <v>0.98434008716483068</v>
      </c>
      <c r="J17" s="14">
        <f>gasdensgeneral(A17,I17,INPUT!$B$7)</f>
        <v>0.5200952963763964</v>
      </c>
      <c r="K17" s="14">
        <f>_xlfn.IFS(CORET!$J$1=1,ViscGas(TABEL!A17,INPUT!$B$7,INPUT!$B$11,TABEL!I17),CORET!$J$1=2,ViscCarr(TABEL!A17,INPUT!$B$7,INPUT!$B$11,OUTPUT!$B$17,OUTPUT!$B$16,INPUT!$E$15,INPUT!$E$14,INPUT!$E$13),CORET!$J$1=3,VisJossi(TABEL!A17,OUTPUT!$B$17,INPUT!$B$7,OUTPUT!$B$16,I17,INPUT!$B$11),CORET!$J$1=4,VisDean(TABEL!A17,OUTPUT!$B$17,INPUT!$B$7,OUTPUT!$B$16,I17,INPUT!$B$11),CORET!$J$1=5,VisLucas(TABEL!A17,OUTPUT!$B$17,INPUT!$B$7,OUTPUT!$B$16,INPUT!$B$11),CORET!$J$1=6,VisLondono(TABEL!A17,I17,INPUT!$B$7,INPUT!$B$11),CORET!$J$1=7,VisSutton(TABEL!A17,I17,INPUT!$B$7,OUTPUT!$B$16,INPUT!$B$11,OUTPUT!$B$17))</f>
        <v>1.0037018040349196E-2</v>
      </c>
      <c r="L17" s="14">
        <f>_xlfn.IFS(CORET!$K$1=1,CgHall(TABEL!A17,INPUT!$B$7,OUTPUT!$B$16,OUTPUT!$B$17,TABEL!I17),CORET!$K$1=2,CgDranchuk(TABEL!A17,INPUT!$B$7,OUTPUT!$B$16,OUTPUT!$B$17,TABEL!I17))</f>
        <v>8.9873297398030769E-3</v>
      </c>
      <c r="M17" s="12">
        <f>_xlfn.IFS(CORET!$M$1=1,BWMeehan(TABEL!A17,INPUT!$B$7,CORET!$E$18,INPUT!$E$8),CORET!$M$1=2,BWMCain(TABEL!A17,INPUT!$B$7,TABEL!I17,B17,INPUT!$E$7,INPUT!$B$18,INPUT!$B$10,INPUT!$B$8))</f>
        <v>1.0182499713542394</v>
      </c>
      <c r="N17" s="14">
        <f>RswMcCain(TABEL!A17,INPUT!$B$7,INPUT!$E$7)</f>
        <v>3.3818980301779096</v>
      </c>
      <c r="O17" s="14">
        <f>Density_Brine(TABEL!A17,INPUT!$B$7,INPUT!$B$18,B17,INPUT!$E$7,TABEL!Q17,INPUT!$E$8)</f>
        <v>61.250185862566326</v>
      </c>
      <c r="P17" s="14">
        <f>_xlfn.IFS(CORET!$L$1=1,ViscBrine(TABEL!A17,INPUT!$B$7,INPUT!$E$7),CORET!$L$1=2,ViscMeehan(TABEL!A17,INPUT!$B$7,INPUT!$E$8),CORET!$L$1=3,ViscKestin(TABEL!A17,INPUT!$B$7,INPUT!$E$7))</f>
        <v>0.48317473264451971</v>
      </c>
      <c r="Q17" s="77">
        <f>_xlfn.IFS(CORET!$N$1=1,CWaterMeehan(TABEL!A17,INPUT!$B$7,CORET!E28,INPUT!$E$8,N17),CORET!$N$1=2,CWater(TABEL!A17,INPUT!$B$7,I17,B17,INPUT!$E$7,INPUT!$B$18,INPUT!$B$10,INPUT!$B$8))</f>
        <v>3.1101686975443097E-5</v>
      </c>
    </row>
    <row r="18" spans="1:17" ht="15.75" thickBot="1">
      <c r="A18" s="13">
        <v>0</v>
      </c>
      <c r="B18" s="17" t="str">
        <f>IF(A18&gt;=INPUT!$B$18,"Unsaturated","Saturated")</f>
        <v>Saturated</v>
      </c>
      <c r="C18" s="14">
        <f>_xlfn.IFS(CORET!$A$1=1,RSGLASO(INPUT!$B$16,INPUT!$B$11,INPUT!$B$7,B18,TABEL!A18,INPUT!$B$18),CORET!$A$1=2,RSSTANDING(A18,INPUT!$B$16,INPUT!$B$7,INPUT!$B$11,B18,INPUT!$B$18),CORET!$A$1=3,RSVASCUESS(INPUT!$E$20,A18,INPUT!$B$16,INPUT!$B$7,INPUT!$E$18,INPUT!$E$19,B18,INPUT!$B$18),CORET!$A$1=4,RSLASATER(A18,INPUT!$B$16,INPUT!$B$7,INPUT!$B$11,INPUT!$B$18,B18),CORET!$A$1=5,RSFARSHAD(TABEL!A18,INPUT!$B$18,INPUT!$B$16,INPUT!$B$7,INPUT!$B$11,B18),CORET!$A$1=6,RSKARTO(INPUT!$E$18,INPUT!$E$19,INPUT!$B$16,INPUT!$E$20,A18,INPUT!$B$18,INPUT!$B$7,B18),CORET!$A$1=7,RSMARHOUN(INPUT!$B$11,INPUT!$B$16,INPUT!$B$7,A18,INPUT!$B$18,B18),CORET!$A$1=8,RSHANAFY(A18,INPUT!$B$18,B18),CORET!$A$1=9,RSVELARDE(A18,INPUT!$B$18,INPUT!$B$11,INPUT!$B$16,INPUT!$B$7,B18),CORET!$A$1=10,RSFARSHAD(TABEL!A18,INPUT!$B$18,INPUT!$B$16,INPUT!$B$7,INPUT!$B$11,TABEL!B18))</f>
        <v>0</v>
      </c>
      <c r="D18" s="14">
        <f>_xlfn.IFS(CORET!$G$1=1,standingBO(INPUT!$B$7,INPUT!$B$11,INPUT!$B$16,G18,B18,TABEL!A18,INPUT!$B$18),CORET!$G$1=2,VasquezzBO(INPUT!$B$7,INPUT!$E$20,INPUT!$B$11,INPUT!$B$16,TABEL!G18,TABEL!B18,TABEL!A18,INPUT!$B$18,INPUT!$E$19,INPUT!$E$18),CORET!$G$1=3,GlasoBo(INPUT!$B$11,INPUT!$B$16,INPUT!$B$7,TABEL!A18,B18,INPUT!$B$18,G18),CORET!$G$1=4,FarshadBo(INPUT!$B$11,INPUT!$B$16,INPUT!$B$7,TABEL!A18,INPUT!$B$18,TABEL!G18,TABEL!B18),CORET!$G$1=5,LeblancBo(G18,TABEL!A18,INPUT!$B$18,INPUT!$B$16,INPUT!$B$7,INPUT!$B$11,TABEL!B18),CORET!$G$1=6,MarhounBo(G18,INPUT!$B$11,INPUT!$B$16,INPUT!$B$7,TABEL!A18,INPUT!$B$18,TABEL!B18),CORET!$G$1=7,KartoBo(G18,INPUT!$E$18,INPUT!$E$19,INPUT!$B$16,INPUT!$E$20,TABEL!A18,INPUT!$B$18,INPUT!$B$7,TABEL!B18),CORET!$G$1=8,AlmaedhaidebBo(G18,INPUT!$E$20,TABEL!A18,INPUT!$B$16,INPUT!$B$7,INPUT!$E$18,INPUT!$E$19,TABEL!B18,INPUT!$B$18),CORET!$G$1=9,AlshammasiBo(G18,INPUT!$B$11,INPUT!$E$20,TABEL!A18,INPUT!$B$16,INPUT!$B$7,INPUT!$E$18,INPUT!$E$19,TABEL!B18,INPUT!$B$18),CORET!$G$1=10,SharkawyBo(G18,INPUT!$B$11,INPUT!$E$20,TABEL!A18,INPUT!$B$16,INPUT!$B$7,INPUT!$E$18,INPUT!$E$19,TABEL!B18,INPUT!$B$18),CORET!$G$1=11,OsmanBo(G18,INPUT!$B$11,INPUT!$E$20,TABEL!A18,INPUT!$B$16,INPUT!$B$7,INPUT!$E$18,INPUT!$E$19,TABEL!B18,INPUT!$B$18),CORET!$G$1=12,HanafyBo(G18,TABEL!A18,INPUT!$B$18,B18))</f>
        <v>1.040181732</v>
      </c>
      <c r="E18" s="14">
        <f>_xlfn.IFS(CORET!$H$1=1,oildensstandard(INPUT!$B$16,C18,INPUT!$B$11,D18,G18,B18),CORET!$H$1=2,oildenshanafy(INPUT!$B$16,INPUT!$B$11,G18,TABEL!A18,INPUT!$B$18,TABEL!B18),CORET!$H$1=3,oildensstanding(INPUT!$B$16,INPUT!$E$20,INPUT!$B$11,TABEL!A18,INPUT!$B$18,TABEL!B18,G18),CORET!$H$1=4,oildensbalance(INPUT!$B$16,INPUT!$B$11,INPUT!$B$18,C18,G18,A18,INPUT!$B$7,D18,B18))</f>
        <v>45.422575550396473</v>
      </c>
      <c r="F18" s="14" t="e">
        <f>_xlfn.IFS(CORET!$I$1=1,OilVisBeggs(INPUT!$B$16,INPUT!$B$7,INPUT!$E$20,INPUT!$E$18,INPUT!$E$19,TABEL!B18,TABEL!A18,INPUT!$B$18),CORET!$I$1=2,OilVisBeal(INPUT!$B$16,INPUT!$B$7,INPUT!$E$20,INPUT!$E$18,INPUT!$E$19,TABEL!B18,TABEL!A18,INPUT!$B$18),CORET!$I$1=3,OilVisEgbogah(INPUT!$E$20,TABEL!A18,INPUT!$B$16,INPUT!$B$7,INPUT!$E$18,INPUT!$E$19,TABEL!B18,INPUT!$B$18),CORET!$I$1=4,OilVisPetro(INPUT!$E$20,TABEL!A18,INPUT!$B$16,INPUT!$B$7,INPUT!$E$18,INPUT!$E$19,B18,INPUT!$B$18),CORET!$I$1=5,OilVisMarhoun(INPUT!$B$11,INPUT!$B$16,INPUT!$B$7,TABEL!A18,INPUT!$B$18,TABEL!B18),CORET!$I$1=6,OilVisAlmae(INPUT!$E$20,INPUT!$B$11,TABEL!A18,INPUT!$B$16,INPUT!$B$7,INPUT!$E$18,INPUT!$E$19,B18,INPUT!$B$18),CORET!$I$1=7,OilVisKhan(INPUT!$E$20,INPUT!$B$11,TABEL!A18,INPUT!$B$16,INPUT!$B$7,INPUT!$E$18,INPUT!$E$19,TABEL!B18,INPUT!$B$18),CORET!$I$1=8,OilVisHanafy(INPUT!$B$16,INPUT!$E$20,INPUT!$B$11,TABEL!A18,INPUT!$B$18,TABEL!B18,G18))</f>
        <v>#VALUE!</v>
      </c>
      <c r="G18" s="14" t="e">
        <f>_xlfn.IFS(CORET!$F$1=1,CoVaquezz(INPUT!$E$20,TABEL!A18,INPUT!$B$16,INPUT!$B$7,INPUT!$E$18,INPUT!$E$19,TABEL!B18,INPUT!$B$18,INPUT!$B$11),CORET!$F$1=2,CoPetrosky(INPUT!$B$11,TABEL!A18,INPUT!$B$16,INPUT!$B$7,TABEL!B18,INPUT!$B$18),CORET!$F$1=3,CoFarshad(INPUT!$E$20,INPUT!$B$11,TABEL!A18,INPUT!$B$16,INPUT!$B$7,INPUT!$E$18,INPUT!$E$19,TABEL!B18,INPUT!$B$18),CORET!$F$1=4,CoAlmehaideb(INPUT!$E$20,TABEL!A18,INPUT!$B$16,INPUT!$B$7,INPUT!$E$18,INPUT!$E$19,TABEL!B18,INPUT!$B$18),CORET!$F$1=5,CoSharkawy(INPUT!$E$20,TABEL!A18,INPUT!$B$16,INPUT!$B$7,INPUT!$E$18,INPUT!$E$19,TABEL!B18,INPUT!$B$18),CORET!$F$1=6,CoKarto(INPUT!$E$20,TABEL!A18,INPUT!$B$16,INPUT!$B$7,INPUT!$E$18,INPUT!$E$19,TABEL!B18,INPUT!$B$18),CORET!$F$1=7,CoAhmed(INPUT!$E$20,TABEL!A18,INPUT!$B$16,INPUT!$B$7,INPUT!$E$18,INPUT!$E$19,TABEL!B18,INPUT!$B$18),CORET!$F$1=8,CoDindoruk(INPUT!$E$20,INPUT!$B$11,TABEL!A18,INPUT!$B$16,INPUT!$B$7,INPUT!$E$18,INPUT!$E$19,B18,INPUT!$B$18),CORET!$F$1=9,CoMcCain(INPUT!$E$20,TABEL!A18,INPUT!$B$16,INPUT!$B$7,INPUT!$E$18,INPUT!$E$19,B18,INPUT!$B$18),CORET!$F$1=10,CoMarhoun(INPUT!$E$20,INPUT!$B$11,TABEL!A18,INPUT!$B$16,INPUT!$B$7,B18,INPUT!$B$18),CORET!$F$1=11,CoCalhoun(INPUT!$E$20,INPUT!$B$11,TABEL!A18,INPUT!$B$16,INPUT!$B$7,INPUT!$E$18,INPUT!$E$19,TABEL!B18,INPUT!$B$18),CORET!$F$1=12,CoLabedi(INPUT!$E$20,INPUT!$B$11,TABEL!A18,INPUT!$B$16,INPUT!$B$7,TABEL!B18,INPUT!$B$18),CORET!$F$1=13,CoDegetto(INPUT!$E$20,INPUT!$B$11,TABEL!A18,INPUT!$B$16,INPUT!$B$7,INPUT!$E$18,INPUT!$E$19,TABEL!B18,INPUT!$B$18))</f>
        <v>#VALUE!</v>
      </c>
      <c r="H18" s="14" t="e">
        <f>Bggeneral(INPUT!$B$10,TABEL!A18,INPUT!$B$8,INPUT!$B$7,I18)</f>
        <v>#VALUE!</v>
      </c>
      <c r="I18" s="14" t="e">
        <f>_xlfn.IFS(CORET!$E$1=1,ZAbouKassem(A18/OUTPUT!$B$17,(INPUT!$B$7+459.67)/(OUTPUT!$B$16+459.67),150,10^-12),CORET!$E$1=2,ZBeggsbrill(INPUT!$B$7+459.67,TABEL!A18,OUTPUT!$B$16+459.67,OUTPUT!$B$17),CORET!$E$1=3,hall(TABEL!A18,INPUT!$B$7+459.67,OUTPUT!$B$16+459.67,OUTPUT!$B$17),CORET!$E$1=4,zpapay(INPUT!$B$7+459.67,TABEL!A18,OUTPUT!$B$16+459.67,OUTPUT!$B$17))</f>
        <v>#VALUE!</v>
      </c>
      <c r="J18" s="14" t="e">
        <f>gasdensgeneral(A18,I18,INPUT!$B$7)</f>
        <v>#VALUE!</v>
      </c>
      <c r="K18" s="14">
        <f>_xlfn.IFS(CORET!$J$1=1,ViscGas(TABEL!A18,INPUT!$B$7,INPUT!$B$11,TABEL!I18),CORET!$J$1=2,ViscCarr(TABEL!A18,INPUT!$B$7,INPUT!$B$11,OUTPUT!$B$17,OUTPUT!$B$16,INPUT!$E$15,INPUT!$E$14,INPUT!$E$13),CORET!$J$1=3,VisJossi(TABEL!A18,OUTPUT!$B$17,INPUT!$B$7,OUTPUT!$B$16,I18,INPUT!$B$11),CORET!$J$1=4,VisDean(TABEL!A18,OUTPUT!$B$17,INPUT!$B$7,OUTPUT!$B$16,I18,INPUT!$B$11),CORET!$J$1=5,VisLucas(TABEL!A18,OUTPUT!$B$17,INPUT!$B$7,OUTPUT!$B$16,INPUT!$B$11),CORET!$J$1=6,VisLondono(TABEL!A18,I18,INPUT!$B$7,INPUT!$B$11),CORET!$J$1=7,VisSutton(TABEL!A18,I18,INPUT!$B$7,OUTPUT!$B$16,INPUT!$B$11,OUTPUT!$B$17))</f>
        <v>9.6737407451984465E-3</v>
      </c>
      <c r="L18" s="14" t="e">
        <f>_xlfn.IFS(CORET!$K$1=1,CgHall(TABEL!A18,INPUT!$B$7,OUTPUT!$B$16,OUTPUT!$B$17,TABEL!I18),CORET!$K$1=2,CgDranchuk(TABEL!A18,INPUT!$B$7,OUTPUT!$B$16,OUTPUT!$B$17,TABEL!I18))</f>
        <v>#VALUE!</v>
      </c>
      <c r="M18" s="12">
        <f>_xlfn.IFS(CORET!$M$1=1,BWMeehan(TABEL!A18,INPUT!$B$7,CORET!$E$18,INPUT!$E$8),CORET!$M$1=2,BWMCain(TABEL!A18,INPUT!$B$7,TABEL!I18,B18,INPUT!$E$7,INPUT!$B$18,INPUT!$B$10,INPUT!$B$8))</f>
        <v>1.0183250723840001</v>
      </c>
      <c r="N18" s="14">
        <f>RswMcCain(TABEL!A18,INPUT!$B$7,INPUT!$E$7)</f>
        <v>2.8318880057599998</v>
      </c>
      <c r="O18" s="14">
        <f>Density_Brine(TABEL!A18,INPUT!$B$7,INPUT!$B$18,B18,INPUT!$E$7,TABEL!Q18,INPUT!$E$8)</f>
        <v>61.245668688084372</v>
      </c>
      <c r="P18" s="14">
        <f>_xlfn.IFS(CORET!$L$1=1,ViscBrine(TABEL!A18,INPUT!$B$7,INPUT!$E$7),CORET!$L$1=2,ViscMeehan(TABEL!A18,INPUT!$B$7,INPUT!$E$8),CORET!$L$1=3,ViscKestin(TABEL!A18,INPUT!$B$7,INPUT!$E$7))</f>
        <v>0.48300997358802833</v>
      </c>
      <c r="Q18" s="77">
        <f>_xlfn.IFS(CORET!$N$1=1,CWaterMeehan(TABEL!A18,INPUT!$B$7,CORET!E29,INPUT!$E$8,N18),CORET!$N$1=2,CWater(TABEL!A18,INPUT!$B$7,I18,B18,INPUT!$E$7,INPUT!$B$18,INPUT!$B$10,INPUT!$B$8))</f>
        <v>3.1195528984007377E-5</v>
      </c>
    </row>
    <row r="19" spans="1:17" ht="15.75" thickBot="1">
      <c r="A19" s="13">
        <v>520</v>
      </c>
      <c r="B19" s="17" t="str">
        <f>IF(A19&gt;=INPUT!$B$18,"Unsaturated","Saturated")</f>
        <v>Unsaturated</v>
      </c>
      <c r="C19" s="14">
        <f>_xlfn.IFS(CORET!$A$1=1,RSGLASO(INPUT!$B$16,INPUT!$B$11,INPUT!$B$7,B19,TABEL!A19,INPUT!$B$18),CORET!$A$1=2,RSSTANDING(A19,INPUT!$B$16,INPUT!$B$7,INPUT!$B$11,B19,INPUT!$B$18),CORET!$A$1=3,RSVASCUESS(INPUT!$E$20,A19,INPUT!$B$16,INPUT!$B$7,INPUT!$E$18,INPUT!$E$19,B19,INPUT!$B$18),CORET!$A$1=4,RSLASATER(A19,INPUT!$B$16,INPUT!$B$7,INPUT!$B$11,INPUT!$B$18,B19),CORET!$A$1=5,RSFARSHAD(TABEL!A19,INPUT!$B$18,INPUT!$B$16,INPUT!$B$7,INPUT!$B$11,B19),CORET!$A$1=6,RSKARTO(INPUT!$E$18,INPUT!$E$19,INPUT!$B$16,INPUT!$E$20,A19,INPUT!$B$18,INPUT!$B$7,B19),CORET!$A$1=7,RSMARHOUN(INPUT!$B$11,INPUT!$B$16,INPUT!$B$7,A19,INPUT!$B$18,B19),CORET!$A$1=8,RSHANAFY(A19,INPUT!$B$18,B19),CORET!$A$1=9,RSVELARDE(A19,INPUT!$B$18,INPUT!$B$11,INPUT!$B$16,INPUT!$B$7,B19),CORET!$A$1=10,RSFARSHAD(TABEL!A19,INPUT!$B$18,INPUT!$B$16,INPUT!$B$7,INPUT!$B$11,TABEL!B19))</f>
        <v>8.771124584531691</v>
      </c>
      <c r="D19" s="14">
        <f>_xlfn.IFS(CORET!$G$1=1,standingBO(INPUT!$B$7,INPUT!$B$11,INPUT!$B$16,G19,B19,TABEL!A19,INPUT!$B$18),CORET!$G$1=2,VasquezzBO(INPUT!$B$7,INPUT!$E$20,INPUT!$B$11,INPUT!$B$16,TABEL!G19,TABEL!B19,TABEL!A19,INPUT!$B$18,INPUT!$E$19,INPUT!$E$18),CORET!$G$1=3,GlasoBo(INPUT!$B$11,INPUT!$B$16,INPUT!$B$7,TABEL!A19,B19,INPUT!$B$18,G19),CORET!$G$1=4,FarshadBo(INPUT!$B$11,INPUT!$B$16,INPUT!$B$7,TABEL!A19,INPUT!$B$18,TABEL!G19,TABEL!B19),CORET!$G$1=5,LeblancBo(G19,TABEL!A19,INPUT!$B$18,INPUT!$B$16,INPUT!$B$7,INPUT!$B$11,TABEL!B19),CORET!$G$1=6,MarhounBo(G19,INPUT!$B$11,INPUT!$B$16,INPUT!$B$7,TABEL!A19,INPUT!$B$18,TABEL!B19),CORET!$G$1=7,KartoBo(G19,INPUT!$E$18,INPUT!$E$19,INPUT!$B$16,INPUT!$E$20,TABEL!A19,INPUT!$B$18,INPUT!$B$7,TABEL!B19),CORET!$G$1=8,AlmaedhaidebBo(G19,INPUT!$E$20,TABEL!A19,INPUT!$B$16,INPUT!$B$7,INPUT!$E$18,INPUT!$E$19,TABEL!B19,INPUT!$B$18),CORET!$G$1=9,AlshammasiBo(G19,INPUT!$B$11,INPUT!$E$20,TABEL!A19,INPUT!$B$16,INPUT!$B$7,INPUT!$E$18,INPUT!$E$19,TABEL!B19,INPUT!$B$18),CORET!$G$1=10,SharkawyBo(G19,INPUT!$B$11,INPUT!$E$20,TABEL!A19,INPUT!$B$16,INPUT!$B$7,INPUT!$E$18,INPUT!$E$19,TABEL!B19,INPUT!$B$18),CORET!$G$1=11,OsmanBo(G19,INPUT!$B$11,INPUT!$E$20,TABEL!A19,INPUT!$B$16,INPUT!$B$7,INPUT!$E$18,INPUT!$E$19,TABEL!B19,INPUT!$B$18),CORET!$G$1=12,HanafyBo(G19,TABEL!A19,INPUT!$B$18,B19))</f>
        <v>1.0208658630524123</v>
      </c>
      <c r="E19" s="14">
        <f>_xlfn.IFS(CORET!$H$1=1,oildensstandard(INPUT!$B$16,C19,INPUT!$B$11,D19,G19,B19),CORET!$H$1=2,oildenshanafy(INPUT!$B$16,INPUT!$B$11,G19,TABEL!A19,INPUT!$B$18,TABEL!B19),CORET!$H$1=3,oildensstanding(INPUT!$B$16,INPUT!$E$20,INPUT!$B$11,TABEL!A19,INPUT!$B$18,TABEL!B19,G19),CORET!$H$1=4,oildensbalance(INPUT!$B$16,INPUT!$B$11,INPUT!$B$18,C19,G19,A19,INPUT!$B$7,D19,B19))</f>
        <v>46.298808321293173</v>
      </c>
      <c r="F19" s="14">
        <f>_xlfn.IFS(CORET!$I$1=1,OilVisBeggs(INPUT!$B$16,INPUT!$B$7,INPUT!$E$20,INPUT!$E$18,INPUT!$E$19,TABEL!B19,TABEL!A19,INPUT!$B$18),CORET!$I$1=2,OilVisBeal(INPUT!$B$16,INPUT!$B$7,INPUT!$E$20,INPUT!$E$18,INPUT!$E$19,TABEL!B19,TABEL!A19,INPUT!$B$18),CORET!$I$1=3,OilVisEgbogah(INPUT!$E$20,TABEL!A19,INPUT!$B$16,INPUT!$B$7,INPUT!$E$18,INPUT!$E$19,TABEL!B19,INPUT!$B$18),CORET!$I$1=4,OilVisPetro(INPUT!$E$20,TABEL!A19,INPUT!$B$16,INPUT!$B$7,INPUT!$E$18,INPUT!$E$19,B19,INPUT!$B$18),CORET!$I$1=5,OilVisMarhoun(INPUT!$B$11,INPUT!$B$16,INPUT!$B$7,TABEL!A19,INPUT!$B$18,TABEL!B19),CORET!$I$1=6,OilVisAlmae(INPUT!$E$20,INPUT!$B$11,TABEL!A19,INPUT!$B$16,INPUT!$B$7,INPUT!$E$18,INPUT!$E$19,B19,INPUT!$B$18),CORET!$I$1=7,OilVisKhan(INPUT!$E$20,INPUT!$B$11,TABEL!A19,INPUT!$B$16,INPUT!$B$7,INPUT!$E$18,INPUT!$E$19,TABEL!B19,INPUT!$B$18),CORET!$I$1=8,OilVisHanafy(INPUT!$B$16,INPUT!$E$20,INPUT!$B$11,TABEL!A19,INPUT!$B$18,TABEL!B19,G19))</f>
        <v>8.5551226816305572</v>
      </c>
      <c r="G19" s="14">
        <f>_xlfn.IFS(CORET!$F$1=1,CoVaquezz(INPUT!$E$20,TABEL!A19,INPUT!$B$16,INPUT!$B$7,INPUT!$E$18,INPUT!$E$19,TABEL!B19,INPUT!$B$18,INPUT!$B$11),CORET!$F$1=2,CoPetrosky(INPUT!$B$11,TABEL!A19,INPUT!$B$16,INPUT!$B$7,TABEL!B19,INPUT!$B$18),CORET!$F$1=3,CoFarshad(INPUT!$E$20,INPUT!$B$11,TABEL!A19,INPUT!$B$16,INPUT!$B$7,INPUT!$E$18,INPUT!$E$19,TABEL!B19,INPUT!$B$18),CORET!$F$1=4,CoAlmehaideb(INPUT!$E$20,TABEL!A19,INPUT!$B$16,INPUT!$B$7,INPUT!$E$18,INPUT!$E$19,TABEL!B19,INPUT!$B$18),CORET!$F$1=5,CoSharkawy(INPUT!$E$20,TABEL!A19,INPUT!$B$16,INPUT!$B$7,INPUT!$E$18,INPUT!$E$19,TABEL!B19,INPUT!$B$18),CORET!$F$1=6,CoKarto(INPUT!$E$20,TABEL!A19,INPUT!$B$16,INPUT!$B$7,INPUT!$E$18,INPUT!$E$19,TABEL!B19,INPUT!$B$18),CORET!$F$1=7,CoAhmed(INPUT!$E$20,TABEL!A19,INPUT!$B$16,INPUT!$B$7,INPUT!$E$18,INPUT!$E$19,TABEL!B19,INPUT!$B$18),CORET!$F$1=8,CoDindoruk(INPUT!$E$20,INPUT!$B$11,TABEL!A19,INPUT!$B$16,INPUT!$B$7,INPUT!$E$18,INPUT!$E$19,B19,INPUT!$B$18),CORET!$F$1=9,CoMcCain(INPUT!$E$20,TABEL!A19,INPUT!$B$16,INPUT!$B$7,INPUT!$E$18,INPUT!$E$19,B19,INPUT!$B$18),CORET!$F$1=10,CoMarhoun(INPUT!$E$20,INPUT!$B$11,TABEL!A19,INPUT!$B$16,INPUT!$B$7,B19,INPUT!$B$18),CORET!$F$1=11,CoCalhoun(INPUT!$E$20,INPUT!$B$11,TABEL!A19,INPUT!$B$16,INPUT!$B$7,INPUT!$E$18,INPUT!$E$19,TABEL!B19,INPUT!$B$18),CORET!$F$1=12,CoLabedi(INPUT!$E$20,INPUT!$B$11,TABEL!A19,INPUT!$B$16,INPUT!$B$7,TABEL!B19,INPUT!$B$18),CORET!$F$1=13,CoDegetto(INPUT!$E$20,INPUT!$B$11,TABEL!A19,INPUT!$B$16,INPUT!$B$7,INPUT!$E$18,INPUT!$E$19,TABEL!B19,INPUT!$B$18))</f>
        <v>5.2513354777013143E-5</v>
      </c>
      <c r="H19" s="14">
        <f>Bggeneral(INPUT!$B$10,TABEL!A19,INPUT!$B$8,INPUT!$B$7,I19)</f>
        <v>6.0553277428504547E-2</v>
      </c>
      <c r="I19" s="14">
        <f>_xlfn.IFS(CORET!$E$1=1,ZAbouKassem(A19/OUTPUT!$B$17,(INPUT!$B$7+459.67)/(OUTPUT!$B$16+459.67),150,10^-12),CORET!$E$1=2,ZBeggsbrill(INPUT!$B$7+459.67,TABEL!A19,OUTPUT!$B$16+459.67,OUTPUT!$B$17),CORET!$E$1=3,hall(TABEL!A19,INPUT!$B$7+459.67,OUTPUT!$B$16+459.67,OUTPUT!$B$17),CORET!$E$1=4,zpapay(INPUT!$B$7+459.67,TABEL!A19,OUTPUT!$B$16+459.67,OUTPUT!$B$17))</f>
        <v>0.92925897934499768</v>
      </c>
      <c r="J19" s="14">
        <f>gasdensgeneral(A19,I19,INPUT!$B$7)</f>
        <v>2.5352233842310916</v>
      </c>
      <c r="K19" s="14">
        <f>_xlfn.IFS(CORET!$J$1=1,ViscGas(TABEL!A19,INPUT!$B$7,INPUT!$B$11,TABEL!I19),CORET!$J$1=2,ViscCarr(TABEL!A19,INPUT!$B$7,INPUT!$B$11,OUTPUT!$B$17,OUTPUT!$B$16,INPUT!$E$15,INPUT!$E$14,INPUT!$E$13),CORET!$J$1=3,VisJossi(TABEL!A19,OUTPUT!$B$17,INPUT!$B$7,OUTPUT!$B$16,I19,INPUT!$B$11),CORET!$J$1=4,VisDean(TABEL!A19,OUTPUT!$B$17,INPUT!$B$7,OUTPUT!$B$16,I19,INPUT!$B$11),CORET!$J$1=5,VisLucas(TABEL!A19,OUTPUT!$B$17,INPUT!$B$7,OUTPUT!$B$16,INPUT!$B$11),CORET!$J$1=6,VisLondono(TABEL!A19,I19,INPUT!$B$7,INPUT!$B$11),CORET!$J$1=7,VisSutton(TABEL!A19,I19,INPUT!$B$7,OUTPUT!$B$16,INPUT!$B$11,OUTPUT!$B$17))</f>
        <v>1.1402493254703671E-2</v>
      </c>
      <c r="L19" s="14">
        <f>_xlfn.IFS(CORET!$K$1=1,CgHall(TABEL!A19,INPUT!$B$7,OUTPUT!$B$16,OUTPUT!$B$17,TABEL!I19),CORET!$K$1=2,CgDranchuk(TABEL!A19,INPUT!$B$7,OUTPUT!$B$16,OUTPUT!$B$17,TABEL!I19))</f>
        <v>2.0491644306878721E-3</v>
      </c>
      <c r="M19" s="12">
        <f>_xlfn.IFS(CORET!$M$1=1,BWMeehan(TABEL!A19,INPUT!$B$7,CORET!$E$18,INPUT!$E$8),CORET!$M$1=2,BWMCain(TABEL!A19,INPUT!$B$7,TABEL!I19,B19,INPUT!$E$7,INPUT!$B$18,INPUT!$B$10,INPUT!$B$8))</f>
        <v>1.006570080528489</v>
      </c>
      <c r="N19" s="14">
        <f>RswMcCain(TABEL!A19,INPUT!$B$7,INPUT!$E$7)</f>
        <v>5.320167305837705</v>
      </c>
      <c r="O19" s="14">
        <f>Density_Brine(TABEL!A19,INPUT!$B$7,INPUT!$B$18,B19,INPUT!$E$7,TABEL!Q19,INPUT!$E$8)</f>
        <v>61.960911819725801</v>
      </c>
      <c r="P19" s="14">
        <f>_xlfn.IFS(CORET!$L$1=1,ViscBrine(TABEL!A19,INPUT!$B$7,INPUT!$E$7),CORET!$L$1=2,ViscMeehan(TABEL!A19,INPUT!$B$7,INPUT!$E$8),CORET!$L$1=3,ViscKestin(TABEL!A19,INPUT!$B$7,INPUT!$E$7))</f>
        <v>0.48376815685683827</v>
      </c>
      <c r="Q19" s="77">
        <f>_xlfn.IFS(CORET!$N$1=1,CWaterMeehan(TABEL!A19,INPUT!$B$7,CORET!E30,INPUT!$E$8,N19),CORET!$N$1=2,CWater(TABEL!A19,INPUT!$B$7,I19,B19,INPUT!$E$7,INPUT!$B$18,INPUT!$B$10,INPUT!$B$8))</f>
        <v>3.0763468934555232E-5</v>
      </c>
    </row>
    <row r="20" spans="1:17" ht="15.75" thickBot="1">
      <c r="A20" s="13">
        <f>A19-(($A$7-INPUT!$B$10)/36)</f>
        <v>381.51944444444445</v>
      </c>
      <c r="B20" s="17" t="str">
        <f>IF(A20&gt;=INPUT!$B$18,"Unsaturated","Saturated")</f>
        <v>Unsaturated</v>
      </c>
      <c r="C20" s="14">
        <f>_xlfn.IFS(CORET!$A$1=1,RSGLASO(INPUT!$B$16,INPUT!$B$11,INPUT!$B$7,B20,TABEL!A20,INPUT!$B$18),CORET!$A$1=2,RSSTANDING(A20,INPUT!$B$16,INPUT!$B$7,INPUT!$B$11,B20,INPUT!$B$18),CORET!$A$1=3,RSVASCUESS(INPUT!$E$20,A20,INPUT!$B$16,INPUT!$B$7,INPUT!$E$18,INPUT!$E$19,B20,INPUT!$B$18),CORET!$A$1=4,RSLASATER(A20,INPUT!$B$16,INPUT!$B$7,INPUT!$B$11,INPUT!$B$18,B20),CORET!$A$1=5,RSFARSHAD(TABEL!A20,INPUT!$B$18,INPUT!$B$16,INPUT!$B$7,INPUT!$B$11,B20),CORET!$A$1=6,RSKARTO(INPUT!$E$18,INPUT!$E$19,INPUT!$B$16,INPUT!$E$20,A20,INPUT!$B$18,INPUT!$B$7,B20),CORET!$A$1=7,RSMARHOUN(INPUT!$B$11,INPUT!$B$16,INPUT!$B$7,A20,INPUT!$B$18,B20),CORET!$A$1=8,RSHANAFY(A20,INPUT!$B$18,B20),CORET!$A$1=9,RSVELARDE(A20,INPUT!$B$18,INPUT!$B$11,INPUT!$B$16,INPUT!$B$7,B20),CORET!$A$1=10,RSFARSHAD(TABEL!A20,INPUT!$B$18,INPUT!$B$16,INPUT!$B$7,INPUT!$B$11,TABEL!B20))</f>
        <v>8.771124584531691</v>
      </c>
      <c r="D20" s="14">
        <f>_xlfn.IFS(CORET!$G$1=1,standingBO(INPUT!$B$7,INPUT!$B$11,INPUT!$B$16,G20,B20,TABEL!A20,INPUT!$B$18),CORET!$G$1=2,VasquezzBO(INPUT!$B$7,INPUT!$E$20,INPUT!$B$11,INPUT!$B$16,TABEL!G20,TABEL!B20,TABEL!A20,INPUT!$B$18,INPUT!$E$19,INPUT!$E$18),CORET!$G$1=3,GlasoBo(INPUT!$B$11,INPUT!$B$16,INPUT!$B$7,TABEL!A20,B20,INPUT!$B$18,G20),CORET!$G$1=4,FarshadBo(INPUT!$B$11,INPUT!$B$16,INPUT!$B$7,TABEL!A20,INPUT!$B$18,TABEL!G20,TABEL!B20),CORET!$G$1=5,LeblancBo(G20,TABEL!A20,INPUT!$B$18,INPUT!$B$16,INPUT!$B$7,INPUT!$B$11,TABEL!B20),CORET!$G$1=6,MarhounBo(G20,INPUT!$B$11,INPUT!$B$16,INPUT!$B$7,TABEL!A20,INPUT!$B$18,TABEL!B20),CORET!$G$1=7,KartoBo(G20,INPUT!$E$18,INPUT!$E$19,INPUT!$B$16,INPUT!$E$20,TABEL!A20,INPUT!$B$18,INPUT!$B$7,TABEL!B20),CORET!$G$1=8,AlmaedhaidebBo(G20,INPUT!$E$20,TABEL!A20,INPUT!$B$16,INPUT!$B$7,INPUT!$E$18,INPUT!$E$19,TABEL!B20,INPUT!$B$18),CORET!$G$1=9,AlshammasiBo(G20,INPUT!$B$11,INPUT!$E$20,TABEL!A20,INPUT!$B$16,INPUT!$B$7,INPUT!$E$18,INPUT!$E$19,TABEL!B20,INPUT!$B$18),CORET!$G$1=10,SharkawyBo(G20,INPUT!$B$11,INPUT!$E$20,TABEL!A20,INPUT!$B$16,INPUT!$B$7,INPUT!$E$18,INPUT!$E$19,TABEL!B20,INPUT!$B$18),CORET!$G$1=11,OsmanBo(G20,INPUT!$B$11,INPUT!$E$20,TABEL!A20,INPUT!$B$16,INPUT!$B$7,INPUT!$E$18,INPUT!$E$19,TABEL!B20,INPUT!$B$18),CORET!$G$1=12,HanafyBo(G20,TABEL!A20,INPUT!$B$18,B20))</f>
        <v>1.0233536679956772</v>
      </c>
      <c r="E20" s="14">
        <f>_xlfn.IFS(CORET!$H$1=1,oildensstandard(INPUT!$B$16,C20,INPUT!$B$11,D20,G20,B20),CORET!$H$1=2,oildenshanafy(INPUT!$B$16,INPUT!$B$11,G20,TABEL!A20,INPUT!$B$18,TABEL!B20),CORET!$H$1=3,oildensstanding(INPUT!$B$16,INPUT!$E$20,INPUT!$B$11,TABEL!A20,INPUT!$B$18,TABEL!B20,G20),CORET!$H$1=4,oildensbalance(INPUT!$B$16,INPUT!$B$11,INPUT!$B$18,C20,G20,A20,INPUT!$B$7,D20,B20))</f>
        <v>46.155904349915495</v>
      </c>
      <c r="F20" s="14">
        <f>_xlfn.IFS(CORET!$I$1=1,OilVisBeggs(INPUT!$B$16,INPUT!$B$7,INPUT!$E$20,INPUT!$E$18,INPUT!$E$19,TABEL!B20,TABEL!A20,INPUT!$B$18),CORET!$I$1=2,OilVisBeal(INPUT!$B$16,INPUT!$B$7,INPUT!$E$20,INPUT!$E$18,INPUT!$E$19,TABEL!B20,TABEL!A20,INPUT!$B$18),CORET!$I$1=3,OilVisEgbogah(INPUT!$E$20,TABEL!A20,INPUT!$B$16,INPUT!$B$7,INPUT!$E$18,INPUT!$E$19,TABEL!B20,INPUT!$B$18),CORET!$I$1=4,OilVisPetro(INPUT!$E$20,TABEL!A20,INPUT!$B$16,INPUT!$B$7,INPUT!$E$18,INPUT!$E$19,B20,INPUT!$B$18),CORET!$I$1=5,OilVisMarhoun(INPUT!$B$11,INPUT!$B$16,INPUT!$B$7,TABEL!A20,INPUT!$B$18,TABEL!B20),CORET!$I$1=6,OilVisAlmae(INPUT!$E$20,INPUT!$B$11,TABEL!A20,INPUT!$B$16,INPUT!$B$7,INPUT!$E$18,INPUT!$E$19,B20,INPUT!$B$18),CORET!$I$1=7,OilVisKhan(INPUT!$E$20,INPUT!$B$11,TABEL!A20,INPUT!$B$16,INPUT!$B$7,INPUT!$E$18,INPUT!$E$19,TABEL!B20,INPUT!$B$18),CORET!$I$1=8,OilVisHanafy(INPUT!$B$16,INPUT!$E$20,INPUT!$B$11,TABEL!A20,INPUT!$B$18,TABEL!B20,G20))</f>
        <v>8.4421423914883338</v>
      </c>
      <c r="G20" s="14">
        <f>_xlfn.IFS(CORET!$F$1=1,CoVaquezz(INPUT!$E$20,TABEL!A20,INPUT!$B$16,INPUT!$B$7,INPUT!$E$18,INPUT!$E$19,TABEL!B20,INPUT!$B$18,INPUT!$B$11),CORET!$F$1=2,CoPetrosky(INPUT!$B$11,TABEL!A20,INPUT!$B$16,INPUT!$B$7,TABEL!B20,INPUT!$B$18),CORET!$F$1=3,CoFarshad(INPUT!$E$20,INPUT!$B$11,TABEL!A20,INPUT!$B$16,INPUT!$B$7,INPUT!$E$18,INPUT!$E$19,TABEL!B20,INPUT!$B$18),CORET!$F$1=4,CoAlmehaideb(INPUT!$E$20,TABEL!A20,INPUT!$B$16,INPUT!$B$7,INPUT!$E$18,INPUT!$E$19,TABEL!B20,INPUT!$B$18),CORET!$F$1=5,CoSharkawy(INPUT!$E$20,TABEL!A20,INPUT!$B$16,INPUT!$B$7,INPUT!$E$18,INPUT!$E$19,TABEL!B20,INPUT!$B$18),CORET!$F$1=6,CoKarto(INPUT!$E$20,TABEL!A20,INPUT!$B$16,INPUT!$B$7,INPUT!$E$18,INPUT!$E$19,TABEL!B20,INPUT!$B$18),CORET!$F$1=7,CoAhmed(INPUT!$E$20,TABEL!A20,INPUT!$B$16,INPUT!$B$7,INPUT!$E$18,INPUT!$E$19,TABEL!B20,INPUT!$B$18),CORET!$F$1=8,CoDindoruk(INPUT!$E$20,INPUT!$B$11,TABEL!A20,INPUT!$B$16,INPUT!$B$7,INPUT!$E$18,INPUT!$E$19,B20,INPUT!$B$18),CORET!$F$1=9,CoMcCain(INPUT!$E$20,TABEL!A20,INPUT!$B$16,INPUT!$B$7,INPUT!$E$18,INPUT!$E$19,B20,INPUT!$B$18),CORET!$F$1=10,CoMarhoun(INPUT!$E$20,INPUT!$B$11,TABEL!A20,INPUT!$B$16,INPUT!$B$7,B20,INPUT!$B$18),CORET!$F$1=11,CoCalhoun(INPUT!$E$20,INPUT!$B$11,TABEL!A20,INPUT!$B$16,INPUT!$B$7,INPUT!$E$18,INPUT!$E$19,TABEL!B20,INPUT!$B$18),CORET!$F$1=12,CoLabedi(INPUT!$E$20,INPUT!$B$11,TABEL!A20,INPUT!$B$16,INPUT!$B$7,TABEL!B20,INPUT!$B$18),CORET!$F$1=13,CoDegetto(INPUT!$E$20,INPUT!$B$11,TABEL!A20,INPUT!$B$16,INPUT!$B$7,INPUT!$E$18,INPUT!$E$19,TABEL!B20,INPUT!$B$18))</f>
        <v>7.157418810936431E-5</v>
      </c>
      <c r="H20" s="14">
        <f>Bggeneral(INPUT!$B$10,TABEL!A20,INPUT!$B$8,INPUT!$B$7,I20)</f>
        <v>8.4168960606518198E-2</v>
      </c>
      <c r="I20" s="14">
        <f>_xlfn.IFS(CORET!$E$1=1,ZAbouKassem(A20/OUTPUT!$B$17,(INPUT!$B$7+459.67)/(OUTPUT!$B$16+459.67),150,10^-12),CORET!$E$1=2,ZBeggsbrill(INPUT!$B$7+459.67,TABEL!A20,OUTPUT!$B$16+459.67,OUTPUT!$B$17),CORET!$E$1=3,hall(TABEL!A20,INPUT!$B$7+459.67,OUTPUT!$B$16+459.67,OUTPUT!$B$17),CORET!$E$1=4,zpapay(INPUT!$B$7+459.67,TABEL!A20,OUTPUT!$B$16+459.67,OUTPUT!$B$17))</f>
        <v>0.94768587950872551</v>
      </c>
      <c r="J20" s="14">
        <f>gasdensgeneral(A20,I20,INPUT!$B$7)</f>
        <v>1.8239037742933575</v>
      </c>
      <c r="K20" s="14">
        <f>_xlfn.IFS(CORET!$J$1=1,ViscGas(TABEL!A20,INPUT!$B$7,INPUT!$B$11,TABEL!I20),CORET!$J$1=2,ViscCarr(TABEL!A20,INPUT!$B$7,INPUT!$B$11,OUTPUT!$B$17,OUTPUT!$B$16,INPUT!$E$15,INPUT!$E$14,INPUT!$E$13),CORET!$J$1=3,VisJossi(TABEL!A20,OUTPUT!$B$17,INPUT!$B$7,OUTPUT!$B$16,I20,INPUT!$B$11),CORET!$J$1=4,VisDean(TABEL!A20,OUTPUT!$B$17,INPUT!$B$7,OUTPUT!$B$16,I20,INPUT!$B$11),CORET!$J$1=5,VisLucas(TABEL!A20,OUTPUT!$B$17,INPUT!$B$7,OUTPUT!$B$16,INPUT!$B$11),CORET!$J$1=6,VisLondono(TABEL!A20,I20,INPUT!$B$7,INPUT!$B$11),CORET!$J$1=7,VisSutton(TABEL!A20,I20,INPUT!$B$7,OUTPUT!$B$16,INPUT!$B$11,OUTPUT!$B$17))</f>
        <v>1.0928137375834132E-2</v>
      </c>
      <c r="L20" s="14">
        <f>_xlfn.IFS(CORET!$K$1=1,CgHall(TABEL!A20,INPUT!$B$7,OUTPUT!$B$16,OUTPUT!$B$17,TABEL!I20),CORET!$K$1=2,CgDranchuk(TABEL!A20,INPUT!$B$7,OUTPUT!$B$16,OUTPUT!$B$17,TABEL!I20))</f>
        <v>2.7526710221632287E-3</v>
      </c>
      <c r="M20" s="12">
        <f>_xlfn.IFS(CORET!$M$1=1,BWMeehan(TABEL!A20,INPUT!$B$7,CORET!$E$18,INPUT!$E$8),CORET!$M$1=2,BWMCain(TABEL!A20,INPUT!$B$7,TABEL!I20,B20,INPUT!$E$7,INPUT!$B$18,INPUT!$B$10,INPUT!$B$8))</f>
        <v>1.010353160349893</v>
      </c>
      <c r="N20" s="14">
        <f>RswMcCain(TABEL!A20,INPUT!$B$7,INPUT!$E$7)</f>
        <v>4.6681862545015154</v>
      </c>
      <c r="O20" s="14">
        <f>Density_Brine(TABEL!A20,INPUT!$B$7,INPUT!$B$18,B20,INPUT!$E$7,TABEL!Q20,INPUT!$E$8)</f>
        <v>61.728910689408337</v>
      </c>
      <c r="P20" s="14">
        <f>_xlfn.IFS(CORET!$L$1=1,ViscBrine(TABEL!A20,INPUT!$B$7,INPUT!$E$7),CORET!$L$1=2,ViscMeehan(TABEL!A20,INPUT!$B$7,INPUT!$E$8),CORET!$L$1=3,ViscKestin(TABEL!A20,INPUT!$B$7,INPUT!$E$7))</f>
        <v>0.48356624601015036</v>
      </c>
      <c r="Q20" s="77">
        <f>_xlfn.IFS(CORET!$N$1=1,CWaterMeehan(TABEL!A20,INPUT!$B$7,CORET!E31,INPUT!$E$8,N20),CORET!$N$1=2,CWater(TABEL!A20,INPUT!$B$7,I20,B20,INPUT!$E$7,INPUT!$B$18,INPUT!$B$10,INPUT!$B$8))</f>
        <v>3.0878585165408443E-5</v>
      </c>
    </row>
    <row r="21" spans="1:17" ht="15.75" thickBot="1">
      <c r="A21" s="13">
        <f>A20-(($A$7-INPUT!$B$10)/36)</f>
        <v>243.03888888888889</v>
      </c>
      <c r="B21" s="17" t="str">
        <f>IF(A21&gt;=INPUT!$B$18,"Unsaturated","Saturated")</f>
        <v>Unsaturated</v>
      </c>
      <c r="C21" s="14">
        <f>_xlfn.IFS(CORET!$A$1=1,RSGLASO(INPUT!$B$16,INPUT!$B$11,INPUT!$B$7,B21,TABEL!A21,INPUT!$B$18),CORET!$A$1=2,RSSTANDING(A21,INPUT!$B$16,INPUT!$B$7,INPUT!$B$11,B21,INPUT!$B$18),CORET!$A$1=3,RSVASCUESS(INPUT!$E$20,A21,INPUT!$B$16,INPUT!$B$7,INPUT!$E$18,INPUT!$E$19,B21,INPUT!$B$18),CORET!$A$1=4,RSLASATER(A21,INPUT!$B$16,INPUT!$B$7,INPUT!$B$11,INPUT!$B$18,B21),CORET!$A$1=5,RSFARSHAD(TABEL!A21,INPUT!$B$18,INPUT!$B$16,INPUT!$B$7,INPUT!$B$11,B21),CORET!$A$1=6,RSKARTO(INPUT!$E$18,INPUT!$E$19,INPUT!$B$16,INPUT!$E$20,A21,INPUT!$B$18,INPUT!$B$7,B21),CORET!$A$1=7,RSMARHOUN(INPUT!$B$11,INPUT!$B$16,INPUT!$B$7,A21,INPUT!$B$18,B21),CORET!$A$1=8,RSHANAFY(A21,INPUT!$B$18,B21),CORET!$A$1=9,RSVELARDE(A21,INPUT!$B$18,INPUT!$B$11,INPUT!$B$16,INPUT!$B$7,B21),CORET!$A$1=10,RSFARSHAD(TABEL!A21,INPUT!$B$18,INPUT!$B$16,INPUT!$B$7,INPUT!$B$11,TABEL!B21))</f>
        <v>8.771124584531691</v>
      </c>
      <c r="D21" s="14">
        <f>_xlfn.IFS(CORET!$G$1=1,standingBO(INPUT!$B$7,INPUT!$B$11,INPUT!$B$16,G21,B21,TABEL!A21,INPUT!$B$18),CORET!$G$1=2,VasquezzBO(INPUT!$B$7,INPUT!$E$20,INPUT!$B$11,INPUT!$B$16,TABEL!G21,TABEL!B21,TABEL!A21,INPUT!$B$18,INPUT!$E$19,INPUT!$E$18),CORET!$G$1=3,GlasoBo(INPUT!$B$11,INPUT!$B$16,INPUT!$B$7,TABEL!A21,B21,INPUT!$B$18,G21),CORET!$G$1=4,FarshadBo(INPUT!$B$11,INPUT!$B$16,INPUT!$B$7,TABEL!A21,INPUT!$B$18,TABEL!G21,TABEL!B21),CORET!$G$1=5,LeblancBo(G21,TABEL!A21,INPUT!$B$18,INPUT!$B$16,INPUT!$B$7,INPUT!$B$11,TABEL!B21),CORET!$G$1=6,MarhounBo(G21,INPUT!$B$11,INPUT!$B$16,INPUT!$B$7,TABEL!A21,INPUT!$B$18,TABEL!B21),CORET!$G$1=7,KartoBo(G21,INPUT!$E$18,INPUT!$E$19,INPUT!$B$16,INPUT!$E$20,TABEL!A21,INPUT!$B$18,INPUT!$B$7,TABEL!B21),CORET!$G$1=8,AlmaedhaidebBo(G21,INPUT!$E$20,TABEL!A21,INPUT!$B$16,INPUT!$B$7,INPUT!$E$18,INPUT!$E$19,TABEL!B21,INPUT!$B$18),CORET!$G$1=9,AlshammasiBo(G21,INPUT!$B$11,INPUT!$E$20,TABEL!A21,INPUT!$B$16,INPUT!$B$7,INPUT!$E$18,INPUT!$E$19,TABEL!B21,INPUT!$B$18),CORET!$G$1=10,SharkawyBo(G21,INPUT!$B$11,INPUT!$E$20,TABEL!A21,INPUT!$B$16,INPUT!$B$7,INPUT!$E$18,INPUT!$E$19,TABEL!B21,INPUT!$B$18),CORET!$G$1=11,OsmanBo(G21,INPUT!$B$11,INPUT!$E$20,TABEL!A21,INPUT!$B$16,INPUT!$B$7,INPUT!$E$18,INPUT!$E$19,TABEL!B21,INPUT!$B$18),CORET!$G$1=12,HanafyBo(G21,TABEL!A21,INPUT!$B$18,B21))</f>
        <v>1.0286968953811964</v>
      </c>
      <c r="E21" s="14">
        <f>_xlfn.IFS(CORET!$H$1=1,oildensstandard(INPUT!$B$16,C21,INPUT!$B$11,D21,G21,B21),CORET!$H$1=2,oildenshanafy(INPUT!$B$16,INPUT!$B$11,G21,TABEL!A21,INPUT!$B$18,TABEL!B21),CORET!$H$1=3,oildensstanding(INPUT!$B$16,INPUT!$E$20,INPUT!$B$11,TABEL!A21,INPUT!$B$18,TABEL!B21,G21),CORET!$H$1=4,oildensbalance(INPUT!$B$16,INPUT!$B$11,INPUT!$B$18,C21,G21,A21,INPUT!$B$7,D21,B21))</f>
        <v>45.885647926745129</v>
      </c>
      <c r="F21" s="14">
        <f>_xlfn.IFS(CORET!$I$1=1,OilVisBeggs(INPUT!$B$16,INPUT!$B$7,INPUT!$E$20,INPUT!$E$18,INPUT!$E$19,TABEL!B21,TABEL!A21,INPUT!$B$18),CORET!$I$1=2,OilVisBeal(INPUT!$B$16,INPUT!$B$7,INPUT!$E$20,INPUT!$E$18,INPUT!$E$19,TABEL!B21,TABEL!A21,INPUT!$B$18),CORET!$I$1=3,OilVisEgbogah(INPUT!$E$20,TABEL!A21,INPUT!$B$16,INPUT!$B$7,INPUT!$E$18,INPUT!$E$19,TABEL!B21,INPUT!$B$18),CORET!$I$1=4,OilVisPetro(INPUT!$E$20,TABEL!A21,INPUT!$B$16,INPUT!$B$7,INPUT!$E$18,INPUT!$E$19,B21,INPUT!$B$18),CORET!$I$1=5,OilVisMarhoun(INPUT!$B$11,INPUT!$B$16,INPUT!$B$7,TABEL!A21,INPUT!$B$18,TABEL!B21),CORET!$I$1=6,OilVisAlmae(INPUT!$E$20,INPUT!$B$11,TABEL!A21,INPUT!$B$16,INPUT!$B$7,INPUT!$E$18,INPUT!$E$19,B21,INPUT!$B$18),CORET!$I$1=7,OilVisKhan(INPUT!$E$20,INPUT!$B$11,TABEL!A21,INPUT!$B$16,INPUT!$B$7,INPUT!$E$18,INPUT!$E$19,TABEL!B21,INPUT!$B$18),CORET!$I$1=8,OilVisHanafy(INPUT!$B$16,INPUT!$E$20,INPUT!$B$11,TABEL!A21,INPUT!$B$18,TABEL!B21,G21))</f>
        <v>8.3306541367540952</v>
      </c>
      <c r="G21" s="14">
        <f>_xlfn.IFS(CORET!$F$1=1,CoVaquezz(INPUT!$E$20,TABEL!A21,INPUT!$B$16,INPUT!$B$7,INPUT!$E$18,INPUT!$E$19,TABEL!B21,INPUT!$B$18,INPUT!$B$11),CORET!$F$1=2,CoPetrosky(INPUT!$B$11,TABEL!A21,INPUT!$B$16,INPUT!$B$7,TABEL!B21,INPUT!$B$18),CORET!$F$1=3,CoFarshad(INPUT!$E$20,INPUT!$B$11,TABEL!A21,INPUT!$B$16,INPUT!$B$7,INPUT!$E$18,INPUT!$E$19,TABEL!B21,INPUT!$B$18),CORET!$F$1=4,CoAlmehaideb(INPUT!$E$20,TABEL!A21,INPUT!$B$16,INPUT!$B$7,INPUT!$E$18,INPUT!$E$19,TABEL!B21,INPUT!$B$18),CORET!$F$1=5,CoSharkawy(INPUT!$E$20,TABEL!A21,INPUT!$B$16,INPUT!$B$7,INPUT!$E$18,INPUT!$E$19,TABEL!B21,INPUT!$B$18),CORET!$F$1=6,CoKarto(INPUT!$E$20,TABEL!A21,INPUT!$B$16,INPUT!$B$7,INPUT!$E$18,INPUT!$E$19,TABEL!B21,INPUT!$B$18),CORET!$F$1=7,CoAhmed(INPUT!$E$20,TABEL!A21,INPUT!$B$16,INPUT!$B$7,INPUT!$E$18,INPUT!$E$19,TABEL!B21,INPUT!$B$18),CORET!$F$1=8,CoDindoruk(INPUT!$E$20,INPUT!$B$11,TABEL!A21,INPUT!$B$16,INPUT!$B$7,INPUT!$E$18,INPUT!$E$19,B21,INPUT!$B$18),CORET!$F$1=9,CoMcCain(INPUT!$E$20,TABEL!A21,INPUT!$B$16,INPUT!$B$7,INPUT!$E$18,INPUT!$E$19,B21,INPUT!$B$18),CORET!$F$1=10,CoMarhoun(INPUT!$E$20,INPUT!$B$11,TABEL!A21,INPUT!$B$16,INPUT!$B$7,B21,INPUT!$B$18),CORET!$F$1=11,CoCalhoun(INPUT!$E$20,INPUT!$B$11,TABEL!A21,INPUT!$B$16,INPUT!$B$7,INPUT!$E$18,INPUT!$E$19,TABEL!B21,INPUT!$B$18),CORET!$F$1=12,CoLabedi(INPUT!$E$20,INPUT!$B$11,TABEL!A21,INPUT!$B$16,INPUT!$B$7,TABEL!B21,INPUT!$B$18),CORET!$F$1=13,CoDegetto(INPUT!$E$20,INPUT!$B$11,TABEL!A21,INPUT!$B$16,INPUT!$B$7,INPUT!$E$18,INPUT!$E$19,TABEL!B21,INPUT!$B$18))</f>
        <v>1.1235627602186276E-4</v>
      </c>
      <c r="H21" s="14">
        <f>Bggeneral(INPUT!$B$10,TABEL!A21,INPUT!$B$8,INPUT!$B$7,I21)</f>
        <v>0.13474603911900851</v>
      </c>
      <c r="I21" s="14">
        <f>_xlfn.IFS(CORET!$E$1=1,ZAbouKassem(A21/OUTPUT!$B$17,(INPUT!$B$7+459.67)/(OUTPUT!$B$16+459.67),150,10^-12),CORET!$E$1=2,ZBeggsbrill(INPUT!$B$7+459.67,TABEL!A21,OUTPUT!$B$16+459.67,OUTPUT!$B$17),CORET!$E$1=3,hall(TABEL!A21,INPUT!$B$7+459.67,OUTPUT!$B$16+459.67,OUTPUT!$B$17),CORET!$E$1=4,zpapay(INPUT!$B$7+459.67,TABEL!A21,OUTPUT!$B$16+459.67,OUTPUT!$B$17))</f>
        <v>0.96646815233598071</v>
      </c>
      <c r="J21" s="14">
        <f>gasdensgeneral(A21,I21,INPUT!$B$7)</f>
        <v>1.1392994252913891</v>
      </c>
      <c r="K21" s="14">
        <f>_xlfn.IFS(CORET!$J$1=1,ViscGas(TABEL!A21,INPUT!$B$7,INPUT!$B$11,TABEL!I21),CORET!$J$1=2,ViscCarr(TABEL!A21,INPUT!$B$7,INPUT!$B$11,OUTPUT!$B$17,OUTPUT!$B$16,INPUT!$E$15,INPUT!$E$14,INPUT!$E$13),CORET!$J$1=3,VisJossi(TABEL!A21,OUTPUT!$B$17,INPUT!$B$7,OUTPUT!$B$16,I21,INPUT!$B$11),CORET!$J$1=4,VisDean(TABEL!A21,OUTPUT!$B$17,INPUT!$B$7,OUTPUT!$B$16,I21,INPUT!$B$11),CORET!$J$1=5,VisLucas(TABEL!A21,OUTPUT!$B$17,INPUT!$B$7,OUTPUT!$B$16,INPUT!$B$11),CORET!$J$1=6,VisLondono(TABEL!A21,I21,INPUT!$B$7,INPUT!$B$11),CORET!$J$1=7,VisSutton(TABEL!A21,I21,INPUT!$B$7,OUTPUT!$B$16,INPUT!$B$11,OUTPUT!$B$17))</f>
        <v>1.0463748875241378E-2</v>
      </c>
      <c r="L21" s="14">
        <f>_xlfn.IFS(CORET!$K$1=1,CgHall(TABEL!A21,INPUT!$B$7,OUTPUT!$B$16,OUTPUT!$B$17,TABEL!I21),CORET!$K$1=2,CgDranchuk(TABEL!A21,INPUT!$B$7,OUTPUT!$B$16,OUTPUT!$B$17,TABEL!I21))</f>
        <v>4.2499857963502301E-3</v>
      </c>
      <c r="M21" s="12">
        <f>_xlfn.IFS(CORET!$M$1=1,BWMeehan(TABEL!A21,INPUT!$B$7,CORET!$E$18,INPUT!$E$8),CORET!$M$1=2,BWMCain(TABEL!A21,INPUT!$B$7,TABEL!I21,B21,INPUT!$E$7,INPUT!$B$18,INPUT!$B$10,INPUT!$B$8))</f>
        <v>1.0144877386853384</v>
      </c>
      <c r="N21" s="14">
        <f>RswMcCain(TABEL!A21,INPUT!$B$7,INPUT!$E$7)</f>
        <v>4.0084597432002953</v>
      </c>
      <c r="O21" s="14">
        <f>Density_Brine(TABEL!A21,INPUT!$B$7,INPUT!$B$18,B21,INPUT!$E$7,TABEL!Q21,INPUT!$E$8)</f>
        <v>61.477332472072945</v>
      </c>
      <c r="P21" s="14">
        <f>_xlfn.IFS(CORET!$L$1=1,ViscBrine(TABEL!A21,INPUT!$B$7,INPUT!$E$7),CORET!$L$1=2,ViscMeehan(TABEL!A21,INPUT!$B$7,INPUT!$E$8),CORET!$L$1=3,ViscKestin(TABEL!A21,INPUT!$B$7,INPUT!$E$7))</f>
        <v>0.48336433516346244</v>
      </c>
      <c r="Q21" s="77">
        <f>_xlfn.IFS(CORET!$N$1=1,CWaterMeehan(TABEL!A21,INPUT!$B$7,CORET!E32,INPUT!$E$8,N21),CORET!$N$1=2,CWater(TABEL!A21,INPUT!$B$7,I21,B21,INPUT!$E$7,INPUT!$B$18,INPUT!$B$10,INPUT!$B$8))</f>
        <v>3.0993661735797119E-5</v>
      </c>
    </row>
    <row r="22" spans="1:17" ht="15.75" thickBot="1">
      <c r="A22" s="13">
        <f>A21-(($A$7-INPUT!$B$10)/36)</f>
        <v>104.55833333333334</v>
      </c>
      <c r="B22" s="17" t="str">
        <f>IF(A22&gt;=INPUT!$B$18,"Unsaturated","Saturated")</f>
        <v>Saturated</v>
      </c>
      <c r="C22" s="14">
        <f>_xlfn.IFS(CORET!$A$1=1,RSGLASO(INPUT!$B$16,INPUT!$B$11,INPUT!$B$7,B22,TABEL!A22,INPUT!$B$18),CORET!$A$1=2,RSSTANDING(A22,INPUT!$B$16,INPUT!$B$7,INPUT!$B$11,B22,INPUT!$B$18),CORET!$A$1=3,RSVASCUESS(INPUT!$E$20,A22,INPUT!$B$16,INPUT!$B$7,INPUT!$E$18,INPUT!$E$19,B22,INPUT!$B$18),CORET!$A$1=4,RSLASATER(A22,INPUT!$B$16,INPUT!$B$7,INPUT!$B$11,INPUT!$B$18,B22),CORET!$A$1=5,RSFARSHAD(TABEL!A22,INPUT!$B$18,INPUT!$B$16,INPUT!$B$7,INPUT!$B$11,B22),CORET!$A$1=6,RSKARTO(INPUT!$E$18,INPUT!$E$19,INPUT!$B$16,INPUT!$E$20,A22,INPUT!$B$18,INPUT!$B$7,B22),CORET!$A$1=7,RSMARHOUN(INPUT!$B$11,INPUT!$B$16,INPUT!$B$7,A22,INPUT!$B$18,B22),CORET!$A$1=8,RSHANAFY(A22,INPUT!$B$18,B22),CORET!$A$1=9,RSVELARDE(A22,INPUT!$B$18,INPUT!$B$11,INPUT!$B$16,INPUT!$B$7,B22),CORET!$A$1=10,RSFARSHAD(TABEL!A22,INPUT!$B$18,INPUT!$B$16,INPUT!$B$7,INPUT!$B$11,TABEL!B22))</f>
        <v>6.9183377309829996</v>
      </c>
      <c r="D22" s="14">
        <f>_xlfn.IFS(CORET!$G$1=1,standingBO(INPUT!$B$7,INPUT!$B$11,INPUT!$B$16,G22,B22,TABEL!A22,INPUT!$B$18),CORET!$G$1=2,VasquezzBO(INPUT!$B$7,INPUT!$E$20,INPUT!$B$11,INPUT!$B$16,TABEL!G22,TABEL!B22,TABEL!A22,INPUT!$B$18,INPUT!$E$19,INPUT!$E$18),CORET!$G$1=3,GlasoBo(INPUT!$B$11,INPUT!$B$16,INPUT!$B$7,TABEL!A22,B22,INPUT!$B$18,G22),CORET!$G$1=4,FarshadBo(INPUT!$B$11,INPUT!$B$16,INPUT!$B$7,TABEL!A22,INPUT!$B$18,TABEL!G22,TABEL!B22),CORET!$G$1=5,LeblancBo(G22,TABEL!A22,INPUT!$B$18,INPUT!$B$16,INPUT!$B$7,INPUT!$B$11,TABEL!B22),CORET!$G$1=6,MarhounBo(G22,INPUT!$B$11,INPUT!$B$16,INPUT!$B$7,TABEL!A22,INPUT!$B$18,TABEL!B22),CORET!$G$1=7,KartoBo(G22,INPUT!$E$18,INPUT!$E$19,INPUT!$B$16,INPUT!$E$20,TABEL!A22,INPUT!$B$18,INPUT!$B$7,TABEL!B22),CORET!$G$1=8,AlmaedhaidebBo(G22,INPUT!$E$20,TABEL!A22,INPUT!$B$16,INPUT!$B$7,INPUT!$E$18,INPUT!$E$19,TABEL!B22,INPUT!$B$18),CORET!$G$1=9,AlshammasiBo(G22,INPUT!$B$11,INPUT!$E$20,TABEL!A22,INPUT!$B$16,INPUT!$B$7,INPUT!$E$18,INPUT!$E$19,TABEL!B22,INPUT!$B$18),CORET!$G$1=10,SharkawyBo(G22,INPUT!$B$11,INPUT!$E$20,TABEL!A22,INPUT!$B$16,INPUT!$B$7,INPUT!$E$18,INPUT!$E$19,TABEL!B22,INPUT!$B$18),CORET!$G$1=11,OsmanBo(G22,INPUT!$B$11,INPUT!$E$20,TABEL!A22,INPUT!$B$16,INPUT!$B$7,INPUT!$E$18,INPUT!$E$19,TABEL!B22,INPUT!$B$18),CORET!$G$1=12,HanafyBo(G22,TABEL!A22,INPUT!$B$18,B22))</f>
        <v>1.0416435517759142</v>
      </c>
      <c r="E22" s="14">
        <f>_xlfn.IFS(CORET!$H$1=1,oildensstandard(INPUT!$B$16,C22,INPUT!$B$11,D22,G22,B22),CORET!$H$1=2,oildenshanafy(INPUT!$B$16,INPUT!$B$11,G22,TABEL!A22,INPUT!$B$18,TABEL!B22),CORET!$H$1=3,oildensstanding(INPUT!$B$16,INPUT!$E$20,INPUT!$B$11,TABEL!A22,INPUT!$B$18,TABEL!B22,G22),CORET!$H$1=4,oildensbalance(INPUT!$B$16,INPUT!$B$11,INPUT!$B$18,C22,G22,A22,INPUT!$B$7,D22,B22))</f>
        <v>45.300772068731327</v>
      </c>
      <c r="F22" s="14">
        <f>_xlfn.IFS(CORET!$I$1=1,OilVisBeggs(INPUT!$B$16,INPUT!$B$7,INPUT!$E$20,INPUT!$E$18,INPUT!$E$19,TABEL!B22,TABEL!A22,INPUT!$B$18),CORET!$I$1=2,OilVisBeal(INPUT!$B$16,INPUT!$B$7,INPUT!$E$20,INPUT!$E$18,INPUT!$E$19,TABEL!B22,TABEL!A22,INPUT!$B$18),CORET!$I$1=3,OilVisEgbogah(INPUT!$E$20,TABEL!A22,INPUT!$B$16,INPUT!$B$7,INPUT!$E$18,INPUT!$E$19,TABEL!B22,INPUT!$B$18),CORET!$I$1=4,OilVisPetro(INPUT!$E$20,TABEL!A22,INPUT!$B$16,INPUT!$B$7,INPUT!$E$18,INPUT!$E$19,B22,INPUT!$B$18),CORET!$I$1=5,OilVisMarhoun(INPUT!$B$11,INPUT!$B$16,INPUT!$B$7,TABEL!A22,INPUT!$B$18,TABEL!B22),CORET!$I$1=6,OilVisAlmae(INPUT!$E$20,INPUT!$B$11,TABEL!A22,INPUT!$B$16,INPUT!$B$7,INPUT!$E$18,INPUT!$E$19,B22,INPUT!$B$18),CORET!$I$1=7,OilVisKhan(INPUT!$E$20,INPUT!$B$11,TABEL!A22,INPUT!$B$16,INPUT!$B$7,INPUT!$E$18,INPUT!$E$19,TABEL!B22,INPUT!$B$18),CORET!$I$1=8,OilVisHanafy(INPUT!$B$16,INPUT!$E$20,INPUT!$B$11,TABEL!A22,INPUT!$B$18,TABEL!B22,G22))</f>
        <v>9.2233372511841996</v>
      </c>
      <c r="G22" s="14">
        <f>_xlfn.IFS(CORET!$F$1=1,CoVaquezz(INPUT!$E$20,TABEL!A22,INPUT!$B$16,INPUT!$B$7,INPUT!$E$18,INPUT!$E$19,TABEL!B22,INPUT!$B$18,INPUT!$B$11),CORET!$F$1=2,CoPetrosky(INPUT!$B$11,TABEL!A22,INPUT!$B$16,INPUT!$B$7,TABEL!B22,INPUT!$B$18),CORET!$F$1=3,CoFarshad(INPUT!$E$20,INPUT!$B$11,TABEL!A22,INPUT!$B$16,INPUT!$B$7,INPUT!$E$18,INPUT!$E$19,TABEL!B22,INPUT!$B$18),CORET!$F$1=4,CoAlmehaideb(INPUT!$E$20,TABEL!A22,INPUT!$B$16,INPUT!$B$7,INPUT!$E$18,INPUT!$E$19,TABEL!B22,INPUT!$B$18),CORET!$F$1=5,CoSharkawy(INPUT!$E$20,TABEL!A22,INPUT!$B$16,INPUT!$B$7,INPUT!$E$18,INPUT!$E$19,TABEL!B22,INPUT!$B$18),CORET!$F$1=6,CoKarto(INPUT!$E$20,TABEL!A22,INPUT!$B$16,INPUT!$B$7,INPUT!$E$18,INPUT!$E$19,TABEL!B22,INPUT!$B$18),CORET!$F$1=7,CoAhmed(INPUT!$E$20,TABEL!A22,INPUT!$B$16,INPUT!$B$7,INPUT!$E$18,INPUT!$E$19,TABEL!B22,INPUT!$B$18),CORET!$F$1=8,CoDindoruk(INPUT!$E$20,INPUT!$B$11,TABEL!A22,INPUT!$B$16,INPUT!$B$7,INPUT!$E$18,INPUT!$E$19,B22,INPUT!$B$18),CORET!$F$1=9,CoMcCain(INPUT!$E$20,TABEL!A22,INPUT!$B$16,INPUT!$B$7,INPUT!$E$18,INPUT!$E$19,B22,INPUT!$B$18),CORET!$F$1=10,CoMarhoun(INPUT!$E$20,INPUT!$B$11,TABEL!A22,INPUT!$B$16,INPUT!$B$7,B22,INPUT!$B$18),CORET!$F$1=11,CoCalhoun(INPUT!$E$20,INPUT!$B$11,TABEL!A22,INPUT!$B$16,INPUT!$B$7,INPUT!$E$18,INPUT!$E$19,TABEL!B22,INPUT!$B$18),CORET!$F$1=12,CoLabedi(INPUT!$E$20,INPUT!$B$11,TABEL!A22,INPUT!$B$16,INPUT!$B$7,TABEL!B22,INPUT!$B$18),CORET!$F$1=13,CoDegetto(INPUT!$E$20,INPUT!$B$11,TABEL!A22,INPUT!$B$16,INPUT!$B$7,INPUT!$E$18,INPUT!$E$19,TABEL!B22,INPUT!$B$18))</f>
        <v>7.2395044532137902E-3</v>
      </c>
      <c r="H22" s="14">
        <f>Bggeneral(INPUT!$B$10,TABEL!A22,INPUT!$B$8,INPUT!$B$7,I22)</f>
        <v>0.3193780135563839</v>
      </c>
      <c r="I22" s="14">
        <f>_xlfn.IFS(CORET!$E$1=1,ZAbouKassem(A22/OUTPUT!$B$17,(INPUT!$B$7+459.67)/(OUTPUT!$B$16+459.67),150,10^-12),CORET!$E$1=2,ZBeggsbrill(INPUT!$B$7+459.67,TABEL!A22,OUTPUT!$B$16+459.67,OUTPUT!$B$17),CORET!$E$1=3,hall(TABEL!A22,INPUT!$B$7+459.67,OUTPUT!$B$16+459.67,OUTPUT!$B$17),CORET!$E$1=4,zpapay(INPUT!$B$7+459.67,TABEL!A22,OUTPUT!$B$16+459.67,OUTPUT!$B$17))</f>
        <v>0.98550637017067244</v>
      </c>
      <c r="J22" s="14">
        <f>gasdensgeneral(A22,I22,INPUT!$B$7)</f>
        <v>0.48067205133854735</v>
      </c>
      <c r="K22" s="14">
        <f>_xlfn.IFS(CORET!$J$1=1,ViscGas(TABEL!A22,INPUT!$B$7,INPUT!$B$11,TABEL!I22),CORET!$J$1=2,ViscCarr(TABEL!A22,INPUT!$B$7,INPUT!$B$11,OUTPUT!$B$17,OUTPUT!$B$16,INPUT!$E$15,INPUT!$E$14,INPUT!$E$13),CORET!$J$1=3,VisJossi(TABEL!A22,OUTPUT!$B$17,INPUT!$B$7,OUTPUT!$B$16,I22,INPUT!$B$11),CORET!$J$1=4,VisDean(TABEL!A22,OUTPUT!$B$17,INPUT!$B$7,OUTPUT!$B$16,I22,INPUT!$B$11),CORET!$J$1=5,VisLucas(TABEL!A22,OUTPUT!$B$17,INPUT!$B$7,OUTPUT!$B$16,INPUT!$B$11),CORET!$J$1=6,VisLondono(TABEL!A22,I22,INPUT!$B$7,INPUT!$B$11),CORET!$J$1=7,VisSutton(TABEL!A22,I22,INPUT!$B$7,OUTPUT!$B$16,INPUT!$B$11,OUTPUT!$B$17))</f>
        <v>1.0009635024716015E-2</v>
      </c>
      <c r="L22" s="14">
        <f>_xlfn.IFS(CORET!$K$1=1,CgHall(TABEL!A22,INPUT!$B$7,OUTPUT!$B$16,OUTPUT!$B$17,TABEL!I22),CORET!$K$1=2,CgDranchuk(TABEL!A22,INPUT!$B$7,OUTPUT!$B$16,OUTPUT!$B$17,TABEL!I22))</f>
        <v>9.7019273049236202E-3</v>
      </c>
      <c r="M22" s="12">
        <f>_xlfn.IFS(CORET!$M$1=1,BWMeehan(TABEL!A22,INPUT!$B$7,CORET!$E$18,INPUT!$E$8),CORET!$M$1=2,BWMCain(TABEL!A22,INPUT!$B$7,TABEL!I22,B22,INPUT!$E$7,INPUT!$B$18,INPUT!$B$10,INPUT!$B$8))</f>
        <v>1.018255805446207</v>
      </c>
      <c r="N22" s="14">
        <f>RswMcCain(TABEL!A22,INPUT!$B$7,INPUT!$E$7)</f>
        <v>3.3409877719340453</v>
      </c>
      <c r="O22" s="14">
        <f>Density_Brine(TABEL!A22,INPUT!$B$7,INPUT!$B$18,B22,INPUT!$E$7,TABEL!Q22,INPUT!$E$8)</f>
        <v>61.249834929907323</v>
      </c>
      <c r="P22" s="14">
        <f>_xlfn.IFS(CORET!$L$1=1,ViscBrine(TABEL!A22,INPUT!$B$7,INPUT!$E$7),CORET!$L$1=2,ViscMeehan(TABEL!A22,INPUT!$B$7,INPUT!$E$8),CORET!$L$1=3,ViscKestin(TABEL!A22,INPUT!$B$7,INPUT!$E$7))</f>
        <v>0.48316242431677453</v>
      </c>
      <c r="Q22" s="77">
        <f>_xlfn.IFS(CORET!$N$1=1,CWaterMeehan(TABEL!A22,INPUT!$B$7,CORET!E33,INPUT!$E$8,N22),CORET!$N$1=2,CWater(TABEL!A22,INPUT!$B$7,I22,B22,INPUT!$E$7,INPUT!$B$18,INPUT!$B$10,INPUT!$B$8))</f>
        <v>3.1108698370907864E-5</v>
      </c>
    </row>
    <row r="23" spans="1:17" ht="15.75" thickBot="1">
      <c r="A23" s="13">
        <f>A22-(($A$7-INPUT!$B$10)/36)</f>
        <v>-33.922222222222217</v>
      </c>
      <c r="B23" s="17" t="str">
        <f>IF(A23&gt;=INPUT!$B$18,"Unsaturated","Saturated")</f>
        <v>Saturated</v>
      </c>
      <c r="C23" s="14" t="e">
        <f>_xlfn.IFS(CORET!$A$1=1,RSGLASO(INPUT!$B$16,INPUT!$B$11,INPUT!$B$7,B23,TABEL!A23,INPUT!$B$18),CORET!$A$1=2,RSSTANDING(A23,INPUT!$B$16,INPUT!$B$7,INPUT!$B$11,B23,INPUT!$B$18),CORET!$A$1=3,RSVASCUESS(INPUT!$E$20,A23,INPUT!$B$16,INPUT!$B$7,INPUT!$E$18,INPUT!$E$19,B23,INPUT!$B$18),CORET!$A$1=4,RSLASATER(A23,INPUT!$B$16,INPUT!$B$7,INPUT!$B$11,INPUT!$B$18,B23),CORET!$A$1=5,RSFARSHAD(TABEL!A23,INPUT!$B$18,INPUT!$B$16,INPUT!$B$7,INPUT!$B$11,B23),CORET!$A$1=6,RSKARTO(INPUT!$E$18,INPUT!$E$19,INPUT!$B$16,INPUT!$E$20,A23,INPUT!$B$18,INPUT!$B$7,B23),CORET!$A$1=7,RSMARHOUN(INPUT!$B$11,INPUT!$B$16,INPUT!$B$7,A23,INPUT!$B$18,B23),CORET!$A$1=8,RSHANAFY(A23,INPUT!$B$18,B23),CORET!$A$1=9,RSVELARDE(A23,INPUT!$B$18,INPUT!$B$11,INPUT!$B$16,INPUT!$B$7,B23),CORET!$A$1=10,RSFARSHAD(TABEL!A23,INPUT!$B$18,INPUT!$B$16,INPUT!$B$7,INPUT!$B$11,TABEL!B23))</f>
        <v>#VALUE!</v>
      </c>
      <c r="D23" s="14" t="e">
        <f>_xlfn.IFS(CORET!$G$1=1,standingBO(INPUT!$B$7,INPUT!$B$11,INPUT!$B$16,G23,B23,TABEL!A23,INPUT!$B$18),CORET!$G$1=2,VasquezzBO(INPUT!$B$7,INPUT!$E$20,INPUT!$B$11,INPUT!$B$16,TABEL!G23,TABEL!B23,TABEL!A23,INPUT!$B$18,INPUT!$E$19,INPUT!$E$18),CORET!$G$1=3,GlasoBo(INPUT!$B$11,INPUT!$B$16,INPUT!$B$7,TABEL!A23,B23,INPUT!$B$18,G23),CORET!$G$1=4,FarshadBo(INPUT!$B$11,INPUT!$B$16,INPUT!$B$7,TABEL!A23,INPUT!$B$18,TABEL!G23,TABEL!B23),CORET!$G$1=5,LeblancBo(G23,TABEL!A23,INPUT!$B$18,INPUT!$B$16,INPUT!$B$7,INPUT!$B$11,TABEL!B23),CORET!$G$1=6,MarhounBo(G23,INPUT!$B$11,INPUT!$B$16,INPUT!$B$7,TABEL!A23,INPUT!$B$18,TABEL!B23),CORET!$G$1=7,KartoBo(G23,INPUT!$E$18,INPUT!$E$19,INPUT!$B$16,INPUT!$E$20,TABEL!A23,INPUT!$B$18,INPUT!$B$7,TABEL!B23),CORET!$G$1=8,AlmaedhaidebBo(G23,INPUT!$E$20,TABEL!A23,INPUT!$B$16,INPUT!$B$7,INPUT!$E$18,INPUT!$E$19,TABEL!B23,INPUT!$B$18),CORET!$G$1=9,AlshammasiBo(G23,INPUT!$B$11,INPUT!$E$20,TABEL!A23,INPUT!$B$16,INPUT!$B$7,INPUT!$E$18,INPUT!$E$19,TABEL!B23,INPUT!$B$18),CORET!$G$1=10,SharkawyBo(G23,INPUT!$B$11,INPUT!$E$20,TABEL!A23,INPUT!$B$16,INPUT!$B$7,INPUT!$E$18,INPUT!$E$19,TABEL!B23,INPUT!$B$18),CORET!$G$1=11,OsmanBo(G23,INPUT!$B$11,INPUT!$E$20,TABEL!A23,INPUT!$B$16,INPUT!$B$7,INPUT!$E$18,INPUT!$E$19,TABEL!B23,INPUT!$B$18),CORET!$G$1=12,HanafyBo(G23,TABEL!A23,INPUT!$B$18,B23))</f>
        <v>#VALUE!</v>
      </c>
      <c r="E23" s="14" t="e">
        <f>_xlfn.IFS(CORET!$H$1=1,oildensstandard(INPUT!$B$16,C23,INPUT!$B$11,D23,G23,B23),CORET!$H$1=2,oildenshanafy(INPUT!$B$16,INPUT!$B$11,G23,TABEL!A23,INPUT!$B$18,TABEL!B23),CORET!$H$1=3,oildensstanding(INPUT!$B$16,INPUT!$E$20,INPUT!$B$11,TABEL!A23,INPUT!$B$18,TABEL!B23,G23),CORET!$H$1=4,oildensbalance(INPUT!$B$16,INPUT!$B$11,INPUT!$B$18,C23,G23,A23,INPUT!$B$7,D23,B23))</f>
        <v>#VALUE!</v>
      </c>
      <c r="F23" s="14" t="e">
        <f>_xlfn.IFS(CORET!$I$1=1,OilVisBeggs(INPUT!$B$16,INPUT!$B$7,INPUT!$E$20,INPUT!$E$18,INPUT!$E$19,TABEL!B23,TABEL!A23,INPUT!$B$18),CORET!$I$1=2,OilVisBeal(INPUT!$B$16,INPUT!$B$7,INPUT!$E$20,INPUT!$E$18,INPUT!$E$19,TABEL!B23,TABEL!A23,INPUT!$B$18),CORET!$I$1=3,OilVisEgbogah(INPUT!$E$20,TABEL!A23,INPUT!$B$16,INPUT!$B$7,INPUT!$E$18,INPUT!$E$19,TABEL!B23,INPUT!$B$18),CORET!$I$1=4,OilVisPetro(INPUT!$E$20,TABEL!A23,INPUT!$B$16,INPUT!$B$7,INPUT!$E$18,INPUT!$E$19,B23,INPUT!$B$18),CORET!$I$1=5,OilVisMarhoun(INPUT!$B$11,INPUT!$B$16,INPUT!$B$7,TABEL!A23,INPUT!$B$18,TABEL!B23),CORET!$I$1=6,OilVisAlmae(INPUT!$E$20,INPUT!$B$11,TABEL!A23,INPUT!$B$16,INPUT!$B$7,INPUT!$E$18,INPUT!$E$19,B23,INPUT!$B$18),CORET!$I$1=7,OilVisKhan(INPUT!$E$20,INPUT!$B$11,TABEL!A23,INPUT!$B$16,INPUT!$B$7,INPUT!$E$18,INPUT!$E$19,TABEL!B23,INPUT!$B$18),CORET!$I$1=8,OilVisHanafy(INPUT!$B$16,INPUT!$E$20,INPUT!$B$11,TABEL!A23,INPUT!$B$18,TABEL!B23,G23))</f>
        <v>#VALUE!</v>
      </c>
      <c r="G23" s="14" t="e">
        <f>_xlfn.IFS(CORET!$F$1=1,CoVaquezz(INPUT!$E$20,TABEL!A23,INPUT!$B$16,INPUT!$B$7,INPUT!$E$18,INPUT!$E$19,TABEL!B23,INPUT!$B$18,INPUT!$B$11),CORET!$F$1=2,CoPetrosky(INPUT!$B$11,TABEL!A23,INPUT!$B$16,INPUT!$B$7,TABEL!B23,INPUT!$B$18),CORET!$F$1=3,CoFarshad(INPUT!$E$20,INPUT!$B$11,TABEL!A23,INPUT!$B$16,INPUT!$B$7,INPUT!$E$18,INPUT!$E$19,TABEL!B23,INPUT!$B$18),CORET!$F$1=4,CoAlmehaideb(INPUT!$E$20,TABEL!A23,INPUT!$B$16,INPUT!$B$7,INPUT!$E$18,INPUT!$E$19,TABEL!B23,INPUT!$B$18),CORET!$F$1=5,CoSharkawy(INPUT!$E$20,TABEL!A23,INPUT!$B$16,INPUT!$B$7,INPUT!$E$18,INPUT!$E$19,TABEL!B23,INPUT!$B$18),CORET!$F$1=6,CoKarto(INPUT!$E$20,TABEL!A23,INPUT!$B$16,INPUT!$B$7,INPUT!$E$18,INPUT!$E$19,TABEL!B23,INPUT!$B$18),CORET!$F$1=7,CoAhmed(INPUT!$E$20,TABEL!A23,INPUT!$B$16,INPUT!$B$7,INPUT!$E$18,INPUT!$E$19,TABEL!B23,INPUT!$B$18),CORET!$F$1=8,CoDindoruk(INPUT!$E$20,INPUT!$B$11,TABEL!A23,INPUT!$B$16,INPUT!$B$7,INPUT!$E$18,INPUT!$E$19,B23,INPUT!$B$18),CORET!$F$1=9,CoMcCain(INPUT!$E$20,TABEL!A23,INPUT!$B$16,INPUT!$B$7,INPUT!$E$18,INPUT!$E$19,B23,INPUT!$B$18),CORET!$F$1=10,CoMarhoun(INPUT!$E$20,INPUT!$B$11,TABEL!A23,INPUT!$B$16,INPUT!$B$7,B23,INPUT!$B$18),CORET!$F$1=11,CoCalhoun(INPUT!$E$20,INPUT!$B$11,TABEL!A23,INPUT!$B$16,INPUT!$B$7,INPUT!$E$18,INPUT!$E$19,TABEL!B23,INPUT!$B$18),CORET!$F$1=12,CoLabedi(INPUT!$E$20,INPUT!$B$11,TABEL!A23,INPUT!$B$16,INPUT!$B$7,TABEL!B23,INPUT!$B$18),CORET!$F$1=13,CoDegetto(INPUT!$E$20,INPUT!$B$11,TABEL!A23,INPUT!$B$16,INPUT!$B$7,INPUT!$E$18,INPUT!$E$19,TABEL!B23,INPUT!$B$18))</f>
        <v>#VALUE!</v>
      </c>
      <c r="H23" s="14">
        <f>Bggeneral(INPUT!$B$10,TABEL!A23,INPUT!$B$8,INPUT!$B$7,I23)</f>
        <v>-1.0036083896668433</v>
      </c>
      <c r="I23" s="14">
        <f>_xlfn.IFS(CORET!$E$1=1,ZAbouKassem(A23/OUTPUT!$B$17,(INPUT!$B$7+459.67)/(OUTPUT!$B$16+459.67),150,10^-12),CORET!$E$1=2,ZBeggsbrill(INPUT!$B$7+459.67,TABEL!A23,OUTPUT!$B$16+459.67,OUTPUT!$B$17),CORET!$E$1=3,hall(TABEL!A23,INPUT!$B$7+459.67,OUTPUT!$B$16+459.67,OUTPUT!$B$17),CORET!$E$1=4,zpapay(INPUT!$B$7+459.67,TABEL!A23,OUTPUT!$B$16+459.67,OUTPUT!$B$17))</f>
        <v>1.0047183784931721</v>
      </c>
      <c r="J23" s="14">
        <f>gasdensgeneral(A23,I23,INPUT!$B$7)</f>
        <v>-0.15296413073981821</v>
      </c>
      <c r="K23" s="14">
        <f>_xlfn.IFS(CORET!$J$1=1,ViscGas(TABEL!A23,INPUT!$B$7,INPUT!$B$11,TABEL!I23),CORET!$J$1=2,ViscCarr(TABEL!A23,INPUT!$B$7,INPUT!$B$11,OUTPUT!$B$17,OUTPUT!$B$16,INPUT!$E$15,INPUT!$E$14,INPUT!$E$13),CORET!$J$1=3,VisJossi(TABEL!A23,OUTPUT!$B$17,INPUT!$B$7,OUTPUT!$B$16,I23,INPUT!$B$11),CORET!$J$1=4,VisDean(TABEL!A23,OUTPUT!$B$17,INPUT!$B$7,OUTPUT!$B$16,I23,INPUT!$B$11),CORET!$J$1=5,VisLucas(TABEL!A23,OUTPUT!$B$17,INPUT!$B$7,OUTPUT!$B$16,INPUT!$B$11),CORET!$J$1=6,VisLondono(TABEL!A23,I23,INPUT!$B$7,INPUT!$B$11),CORET!$J$1=7,VisSutton(TABEL!A23,I23,INPUT!$B$7,OUTPUT!$B$16,INPUT!$B$11,OUTPUT!$B$17))</f>
        <v>9.5660771506045073E-3</v>
      </c>
      <c r="L23" s="14">
        <f>_xlfn.IFS(CORET!$K$1=1,CgHall(TABEL!A23,INPUT!$B$7,OUTPUT!$B$16,OUTPUT!$B$17,TABEL!I23),CORET!$K$1=2,CgDranchuk(TABEL!A23,INPUT!$B$7,OUTPUT!$B$16,OUTPUT!$B$17,TABEL!I23))</f>
        <v>-2.9339973096743119E-2</v>
      </c>
      <c r="M23" s="12">
        <f>_xlfn.IFS(CORET!$M$1=1,BWMeehan(TABEL!A23,INPUT!$B$7,CORET!$E$18,INPUT!$E$8),CORET!$M$1=2,BWMCain(TABEL!A23,INPUT!$B$7,TABEL!I23,B23,INPUT!$E$7,INPUT!$B$18,INPUT!$B$10,INPUT!$B$8))</f>
        <v>1.0183463545019764</v>
      </c>
      <c r="N23" s="14">
        <f>RswMcCain(TABEL!A23,INPUT!$B$7,INPUT!$E$7)</f>
        <v>2.6657703407027653</v>
      </c>
      <c r="O23" s="14">
        <f>Density_Brine(TABEL!A23,INPUT!$B$7,INPUT!$B$18,B23,INPUT!$E$7,TABEL!Q23,INPUT!$E$8)</f>
        <v>61.244388733046677</v>
      </c>
      <c r="P23" s="14">
        <f>_xlfn.IFS(CORET!$L$1=1,ViscBrine(TABEL!A23,INPUT!$B$7,INPUT!$E$7),CORET!$L$1=2,ViscMeehan(TABEL!A23,INPUT!$B$7,INPUT!$E$8),CORET!$L$1=3,ViscKestin(TABEL!A23,INPUT!$B$7,INPUT!$E$7))</f>
        <v>0.48296051347008656</v>
      </c>
      <c r="Q23" s="77">
        <f>_xlfn.IFS(CORET!$N$1=1,CWaterMeehan(TABEL!A23,INPUT!$B$7,CORET!E34,INPUT!$E$8,N23),CORET!$N$1=2,CWater(TABEL!A23,INPUT!$B$7,I23,B23,INPUT!$E$7,INPUT!$B$18,INPUT!$B$10,INPUT!$B$8))</f>
        <v>3.1223694795927269E-5</v>
      </c>
    </row>
    <row r="24" spans="1:17" ht="15.75" thickBot="1">
      <c r="A24" s="13">
        <f>A23-(($A$7-INPUT!$B$10)/36)</f>
        <v>-172.40277777777777</v>
      </c>
      <c r="B24" s="17" t="str">
        <f>IF(A24&gt;=INPUT!$B$18,"Unsaturated","Saturated")</f>
        <v>Saturated</v>
      </c>
      <c r="C24" s="14" t="e">
        <f>_xlfn.IFS(CORET!$A$1=1,RSGLASO(INPUT!$B$16,INPUT!$B$11,INPUT!$B$7,B24,TABEL!A24,INPUT!$B$18),CORET!$A$1=2,RSSTANDING(A24,INPUT!$B$16,INPUT!$B$7,INPUT!$B$11,B24,INPUT!$B$18),CORET!$A$1=3,RSVASCUESS(INPUT!$E$20,A24,INPUT!$B$16,INPUT!$B$7,INPUT!$E$18,INPUT!$E$19,B24,INPUT!$B$18),CORET!$A$1=4,RSLASATER(A24,INPUT!$B$16,INPUT!$B$7,INPUT!$B$11,INPUT!$B$18,B24),CORET!$A$1=5,RSFARSHAD(TABEL!A24,INPUT!$B$18,INPUT!$B$16,INPUT!$B$7,INPUT!$B$11,B24),CORET!$A$1=6,RSKARTO(INPUT!$E$18,INPUT!$E$19,INPUT!$B$16,INPUT!$E$20,A24,INPUT!$B$18,INPUT!$B$7,B24),CORET!$A$1=7,RSMARHOUN(INPUT!$B$11,INPUT!$B$16,INPUT!$B$7,A24,INPUT!$B$18,B24),CORET!$A$1=8,RSHANAFY(A24,INPUT!$B$18,B24),CORET!$A$1=9,RSVELARDE(A24,INPUT!$B$18,INPUT!$B$11,INPUT!$B$16,INPUT!$B$7,B24),CORET!$A$1=10,RSFARSHAD(TABEL!A24,INPUT!$B$18,INPUT!$B$16,INPUT!$B$7,INPUT!$B$11,TABEL!B24))</f>
        <v>#VALUE!</v>
      </c>
      <c r="D24" s="14" t="e">
        <f>_xlfn.IFS(CORET!$G$1=1,standingBO(INPUT!$B$7,INPUT!$B$11,INPUT!$B$16,G24,B24,TABEL!A24,INPUT!$B$18),CORET!$G$1=2,VasquezzBO(INPUT!$B$7,INPUT!$E$20,INPUT!$B$11,INPUT!$B$16,TABEL!G24,TABEL!B24,TABEL!A24,INPUT!$B$18,INPUT!$E$19,INPUT!$E$18),CORET!$G$1=3,GlasoBo(INPUT!$B$11,INPUT!$B$16,INPUT!$B$7,TABEL!A24,B24,INPUT!$B$18,G24),CORET!$G$1=4,FarshadBo(INPUT!$B$11,INPUT!$B$16,INPUT!$B$7,TABEL!A24,INPUT!$B$18,TABEL!G24,TABEL!B24),CORET!$G$1=5,LeblancBo(G24,TABEL!A24,INPUT!$B$18,INPUT!$B$16,INPUT!$B$7,INPUT!$B$11,TABEL!B24),CORET!$G$1=6,MarhounBo(G24,INPUT!$B$11,INPUT!$B$16,INPUT!$B$7,TABEL!A24,INPUT!$B$18,TABEL!B24),CORET!$G$1=7,KartoBo(G24,INPUT!$E$18,INPUT!$E$19,INPUT!$B$16,INPUT!$E$20,TABEL!A24,INPUT!$B$18,INPUT!$B$7,TABEL!B24),CORET!$G$1=8,AlmaedhaidebBo(G24,INPUT!$E$20,TABEL!A24,INPUT!$B$16,INPUT!$B$7,INPUT!$E$18,INPUT!$E$19,TABEL!B24,INPUT!$B$18),CORET!$G$1=9,AlshammasiBo(G24,INPUT!$B$11,INPUT!$E$20,TABEL!A24,INPUT!$B$16,INPUT!$B$7,INPUT!$E$18,INPUT!$E$19,TABEL!B24,INPUT!$B$18),CORET!$G$1=10,SharkawyBo(G24,INPUT!$B$11,INPUT!$E$20,TABEL!A24,INPUT!$B$16,INPUT!$B$7,INPUT!$E$18,INPUT!$E$19,TABEL!B24,INPUT!$B$18),CORET!$G$1=11,OsmanBo(G24,INPUT!$B$11,INPUT!$E$20,TABEL!A24,INPUT!$B$16,INPUT!$B$7,INPUT!$E$18,INPUT!$E$19,TABEL!B24,INPUT!$B$18),CORET!$G$1=12,HanafyBo(G24,TABEL!A24,INPUT!$B$18,B24))</f>
        <v>#VALUE!</v>
      </c>
      <c r="E24" s="14" t="e">
        <f>_xlfn.IFS(CORET!$H$1=1,oildensstandard(INPUT!$B$16,C24,INPUT!$B$11,D24,G24,B24),CORET!$H$1=2,oildenshanafy(INPUT!$B$16,INPUT!$B$11,G24,TABEL!A24,INPUT!$B$18,TABEL!B24),CORET!$H$1=3,oildensstanding(INPUT!$B$16,INPUT!$E$20,INPUT!$B$11,TABEL!A24,INPUT!$B$18,TABEL!B24,G24),CORET!$H$1=4,oildensbalance(INPUT!$B$16,INPUT!$B$11,INPUT!$B$18,C24,G24,A24,INPUT!$B$7,D24,B24))</f>
        <v>#VALUE!</v>
      </c>
      <c r="F24" s="14" t="e">
        <f>_xlfn.IFS(CORET!$I$1=1,OilVisBeggs(INPUT!$B$16,INPUT!$B$7,INPUT!$E$20,INPUT!$E$18,INPUT!$E$19,TABEL!B24,TABEL!A24,INPUT!$B$18),CORET!$I$1=2,OilVisBeal(INPUT!$B$16,INPUT!$B$7,INPUT!$E$20,INPUT!$E$18,INPUT!$E$19,TABEL!B24,TABEL!A24,INPUT!$B$18),CORET!$I$1=3,OilVisEgbogah(INPUT!$E$20,TABEL!A24,INPUT!$B$16,INPUT!$B$7,INPUT!$E$18,INPUT!$E$19,TABEL!B24,INPUT!$B$18),CORET!$I$1=4,OilVisPetro(INPUT!$E$20,TABEL!A24,INPUT!$B$16,INPUT!$B$7,INPUT!$E$18,INPUT!$E$19,B24,INPUT!$B$18),CORET!$I$1=5,OilVisMarhoun(INPUT!$B$11,INPUT!$B$16,INPUT!$B$7,TABEL!A24,INPUT!$B$18,TABEL!B24),CORET!$I$1=6,OilVisAlmae(INPUT!$E$20,INPUT!$B$11,TABEL!A24,INPUT!$B$16,INPUT!$B$7,INPUT!$E$18,INPUT!$E$19,B24,INPUT!$B$18),CORET!$I$1=7,OilVisKhan(INPUT!$E$20,INPUT!$B$11,TABEL!A24,INPUT!$B$16,INPUT!$B$7,INPUT!$E$18,INPUT!$E$19,TABEL!B24,INPUT!$B$18),CORET!$I$1=8,OilVisHanafy(INPUT!$B$16,INPUT!$E$20,INPUT!$B$11,TABEL!A24,INPUT!$B$18,TABEL!B24,G24))</f>
        <v>#VALUE!</v>
      </c>
      <c r="G24" s="14" t="e">
        <f>_xlfn.IFS(CORET!$F$1=1,CoVaquezz(INPUT!$E$20,TABEL!A24,INPUT!$B$16,INPUT!$B$7,INPUT!$E$18,INPUT!$E$19,TABEL!B24,INPUT!$B$18,INPUT!$B$11),CORET!$F$1=2,CoPetrosky(INPUT!$B$11,TABEL!A24,INPUT!$B$16,INPUT!$B$7,TABEL!B24,INPUT!$B$18),CORET!$F$1=3,CoFarshad(INPUT!$E$20,INPUT!$B$11,TABEL!A24,INPUT!$B$16,INPUT!$B$7,INPUT!$E$18,INPUT!$E$19,TABEL!B24,INPUT!$B$18),CORET!$F$1=4,CoAlmehaideb(INPUT!$E$20,TABEL!A24,INPUT!$B$16,INPUT!$B$7,INPUT!$E$18,INPUT!$E$19,TABEL!B24,INPUT!$B$18),CORET!$F$1=5,CoSharkawy(INPUT!$E$20,TABEL!A24,INPUT!$B$16,INPUT!$B$7,INPUT!$E$18,INPUT!$E$19,TABEL!B24,INPUT!$B$18),CORET!$F$1=6,CoKarto(INPUT!$E$20,TABEL!A24,INPUT!$B$16,INPUT!$B$7,INPUT!$E$18,INPUT!$E$19,TABEL!B24,INPUT!$B$18),CORET!$F$1=7,CoAhmed(INPUT!$E$20,TABEL!A24,INPUT!$B$16,INPUT!$B$7,INPUT!$E$18,INPUT!$E$19,TABEL!B24,INPUT!$B$18),CORET!$F$1=8,CoDindoruk(INPUT!$E$20,INPUT!$B$11,TABEL!A24,INPUT!$B$16,INPUT!$B$7,INPUT!$E$18,INPUT!$E$19,B24,INPUT!$B$18),CORET!$F$1=9,CoMcCain(INPUT!$E$20,TABEL!A24,INPUT!$B$16,INPUT!$B$7,INPUT!$E$18,INPUT!$E$19,B24,INPUT!$B$18),CORET!$F$1=10,CoMarhoun(INPUT!$E$20,INPUT!$B$11,TABEL!A24,INPUT!$B$16,INPUT!$B$7,B24,INPUT!$B$18),CORET!$F$1=11,CoCalhoun(INPUT!$E$20,INPUT!$B$11,TABEL!A24,INPUT!$B$16,INPUT!$B$7,INPUT!$E$18,INPUT!$E$19,TABEL!B24,INPUT!$B$18),CORET!$F$1=12,CoLabedi(INPUT!$E$20,INPUT!$B$11,TABEL!A24,INPUT!$B$16,INPUT!$B$7,TABEL!B24,INPUT!$B$18),CORET!$F$1=13,CoDegetto(INPUT!$E$20,INPUT!$B$11,TABEL!A24,INPUT!$B$16,INPUT!$B$7,INPUT!$E$18,INPUT!$E$19,TABEL!B24,INPUT!$B$18))</f>
        <v>#VALUE!</v>
      </c>
      <c r="H24" s="14">
        <f>Bggeneral(INPUT!$B$10,TABEL!A24,INPUT!$B$8,INPUT!$B$7,I24)</f>
        <v>-0.20126837706655201</v>
      </c>
      <c r="I24" s="14">
        <f>_xlfn.IFS(CORET!$E$1=1,ZAbouKassem(A24/OUTPUT!$B$17,(INPUT!$B$7+459.67)/(OUTPUT!$B$16+459.67),150,10^-12),CORET!$E$1=2,ZBeggsbrill(INPUT!$B$7+459.67,TABEL!A24,OUTPUT!$B$16+459.67,OUTPUT!$B$17),CORET!$E$1=3,hall(TABEL!A24,INPUT!$B$7+459.67,OUTPUT!$B$16+459.67,OUTPUT!$B$17),CORET!$E$1=4,zpapay(INPUT!$B$7+459.67,TABEL!A24,OUTPUT!$B$16+459.67,OUTPUT!$B$17))</f>
        <v>1.0240368196382685</v>
      </c>
      <c r="J24" s="14">
        <f>gasdensgeneral(A24,I24,INPUT!$B$7)</f>
        <v>-0.76274319476335484</v>
      </c>
      <c r="K24" s="14">
        <f>_xlfn.IFS(CORET!$J$1=1,ViscGas(TABEL!A24,INPUT!$B$7,INPUT!$B$11,TABEL!I24),CORET!$J$1=2,ViscCarr(TABEL!A24,INPUT!$B$7,INPUT!$B$11,OUTPUT!$B$17,OUTPUT!$B$16,INPUT!$E$15,INPUT!$E$14,INPUT!$E$13),CORET!$J$1=3,VisJossi(TABEL!A24,OUTPUT!$B$17,INPUT!$B$7,OUTPUT!$B$16,I24,INPUT!$B$11),CORET!$J$1=4,VisDean(TABEL!A24,OUTPUT!$B$17,INPUT!$B$7,OUTPUT!$B$16,I24,INPUT!$B$11),CORET!$J$1=5,VisLucas(TABEL!A24,OUTPUT!$B$17,INPUT!$B$7,OUTPUT!$B$16,INPUT!$B$11),CORET!$J$1=6,VisLondono(TABEL!A24,I24,INPUT!$B$7,INPUT!$B$11),CORET!$J$1=7,VisSutton(TABEL!A24,I24,INPUT!$B$7,OUTPUT!$B$16,INPUT!$B$11,OUTPUT!$B$17))</f>
        <v>9.1333300015548433E-3</v>
      </c>
      <c r="L24" s="14">
        <f>_xlfn.IFS(CORET!$K$1=1,CgHall(TABEL!A24,INPUT!$B$7,OUTPUT!$B$16,OUTPUT!$B$17,TABEL!I24),CORET!$K$1=2,CgDranchuk(TABEL!A24,INPUT!$B$7,OUTPUT!$B$16,OUTPUT!$B$17,TABEL!I24))</f>
        <v>-5.6607178493359592E-3</v>
      </c>
      <c r="M24" s="12">
        <f>_xlfn.IFS(CORET!$M$1=1,BWMeehan(TABEL!A24,INPUT!$B$7,CORET!$E$18,INPUT!$E$8),CORET!$M$1=2,BWMCain(TABEL!A24,INPUT!$B$7,TABEL!I24,B24,INPUT!$E$7,INPUT!$B$18,INPUT!$B$10,INPUT!$B$8))</f>
        <v>1.018427184471614</v>
      </c>
      <c r="N24" s="14">
        <f>RswMcCain(TABEL!A24,INPUT!$B$7,INPUT!$E$7)</f>
        <v>1.9828074495064563</v>
      </c>
      <c r="O24" s="14">
        <f>Density_Brine(TABEL!A24,INPUT!$B$7,INPUT!$B$18,B24,INPUT!$E$7,TABEL!Q24,INPUT!$E$8)</f>
        <v>61.239527922026269</v>
      </c>
      <c r="P24" s="14">
        <f>_xlfn.IFS(CORET!$L$1=1,ViscBrine(TABEL!A24,INPUT!$B$7,INPUT!$E$7),CORET!$L$1=2,ViscMeehan(TABEL!A24,INPUT!$B$7,INPUT!$E$8),CORET!$L$1=3,ViscKestin(TABEL!A24,INPUT!$B$7,INPUT!$E$7))</f>
        <v>0.48275860262339865</v>
      </c>
      <c r="Q24" s="77">
        <f>_xlfn.IFS(CORET!$N$1=1,CWaterMeehan(TABEL!A24,INPUT!$B$7,CORET!E35,INPUT!$E$8,N24),CORET!$N$1=2,CWater(TABEL!A24,INPUT!$B$7,I24,B24,INPUT!$E$7,INPUT!$B$18,INPUT!$B$10,INPUT!$B$8))</f>
        <v>3.1338650736041906E-5</v>
      </c>
    </row>
    <row r="25" spans="1:17" ht="15.75" thickBot="1">
      <c r="A25" s="13">
        <f>A24-(($A$7-INPUT!$B$10)/36)</f>
        <v>-310.88333333333333</v>
      </c>
      <c r="B25" s="17" t="str">
        <f>IF(A25&gt;=INPUT!$B$18,"Unsaturated","Saturated")</f>
        <v>Saturated</v>
      </c>
      <c r="C25" s="14" t="e">
        <f>_xlfn.IFS(CORET!$A$1=1,RSGLASO(INPUT!$B$16,INPUT!$B$11,INPUT!$B$7,B25,TABEL!A25,INPUT!$B$18),CORET!$A$1=2,RSSTANDING(A25,INPUT!$B$16,INPUT!$B$7,INPUT!$B$11,B25,INPUT!$B$18),CORET!$A$1=3,RSVASCUESS(INPUT!$E$20,A25,INPUT!$B$16,INPUT!$B$7,INPUT!$E$18,INPUT!$E$19,B25,INPUT!$B$18),CORET!$A$1=4,RSLASATER(A25,INPUT!$B$16,INPUT!$B$7,INPUT!$B$11,INPUT!$B$18,B25),CORET!$A$1=5,RSFARSHAD(TABEL!A25,INPUT!$B$18,INPUT!$B$16,INPUT!$B$7,INPUT!$B$11,B25),CORET!$A$1=6,RSKARTO(INPUT!$E$18,INPUT!$E$19,INPUT!$B$16,INPUT!$E$20,A25,INPUT!$B$18,INPUT!$B$7,B25),CORET!$A$1=7,RSMARHOUN(INPUT!$B$11,INPUT!$B$16,INPUT!$B$7,A25,INPUT!$B$18,B25),CORET!$A$1=8,RSHANAFY(A25,INPUT!$B$18,B25),CORET!$A$1=9,RSVELARDE(A25,INPUT!$B$18,INPUT!$B$11,INPUT!$B$16,INPUT!$B$7,B25),CORET!$A$1=10,RSFARSHAD(TABEL!A25,INPUT!$B$18,INPUT!$B$16,INPUT!$B$7,INPUT!$B$11,TABEL!B25))</f>
        <v>#VALUE!</v>
      </c>
      <c r="D25" s="14" t="e">
        <f>_xlfn.IFS(CORET!$G$1=1,standingBO(INPUT!$B$7,INPUT!$B$11,INPUT!$B$16,G25,B25,TABEL!A25,INPUT!$B$18),CORET!$G$1=2,VasquezzBO(INPUT!$B$7,INPUT!$E$20,INPUT!$B$11,INPUT!$B$16,TABEL!G25,TABEL!B25,TABEL!A25,INPUT!$B$18,INPUT!$E$19,INPUT!$E$18),CORET!$G$1=3,GlasoBo(INPUT!$B$11,INPUT!$B$16,INPUT!$B$7,TABEL!A25,B25,INPUT!$B$18,G25),CORET!$G$1=4,FarshadBo(INPUT!$B$11,INPUT!$B$16,INPUT!$B$7,TABEL!A25,INPUT!$B$18,TABEL!G25,TABEL!B25),CORET!$G$1=5,LeblancBo(G25,TABEL!A25,INPUT!$B$18,INPUT!$B$16,INPUT!$B$7,INPUT!$B$11,TABEL!B25),CORET!$G$1=6,MarhounBo(G25,INPUT!$B$11,INPUT!$B$16,INPUT!$B$7,TABEL!A25,INPUT!$B$18,TABEL!B25),CORET!$G$1=7,KartoBo(G25,INPUT!$E$18,INPUT!$E$19,INPUT!$B$16,INPUT!$E$20,TABEL!A25,INPUT!$B$18,INPUT!$B$7,TABEL!B25),CORET!$G$1=8,AlmaedhaidebBo(G25,INPUT!$E$20,TABEL!A25,INPUT!$B$16,INPUT!$B$7,INPUT!$E$18,INPUT!$E$19,TABEL!B25,INPUT!$B$18),CORET!$G$1=9,AlshammasiBo(G25,INPUT!$B$11,INPUT!$E$20,TABEL!A25,INPUT!$B$16,INPUT!$B$7,INPUT!$E$18,INPUT!$E$19,TABEL!B25,INPUT!$B$18),CORET!$G$1=10,SharkawyBo(G25,INPUT!$B$11,INPUT!$E$20,TABEL!A25,INPUT!$B$16,INPUT!$B$7,INPUT!$E$18,INPUT!$E$19,TABEL!B25,INPUT!$B$18),CORET!$G$1=11,OsmanBo(G25,INPUT!$B$11,INPUT!$E$20,TABEL!A25,INPUT!$B$16,INPUT!$B$7,INPUT!$E$18,INPUT!$E$19,TABEL!B25,INPUT!$B$18),CORET!$G$1=12,HanafyBo(G25,TABEL!A25,INPUT!$B$18,B25))</f>
        <v>#VALUE!</v>
      </c>
      <c r="E25" s="14" t="e">
        <f>_xlfn.IFS(CORET!$H$1=1,oildensstandard(INPUT!$B$16,C25,INPUT!$B$11,D25,G25,B25),CORET!$H$1=2,oildenshanafy(INPUT!$B$16,INPUT!$B$11,G25,TABEL!A25,INPUT!$B$18,TABEL!B25),CORET!$H$1=3,oildensstanding(INPUT!$B$16,INPUT!$E$20,INPUT!$B$11,TABEL!A25,INPUT!$B$18,TABEL!B25,G25),CORET!$H$1=4,oildensbalance(INPUT!$B$16,INPUT!$B$11,INPUT!$B$18,C25,G25,A25,INPUT!$B$7,D25,B25))</f>
        <v>#VALUE!</v>
      </c>
      <c r="F25" s="14" t="e">
        <f>_xlfn.IFS(CORET!$I$1=1,OilVisBeggs(INPUT!$B$16,INPUT!$B$7,INPUT!$E$20,INPUT!$E$18,INPUT!$E$19,TABEL!B25,TABEL!A25,INPUT!$B$18),CORET!$I$1=2,OilVisBeal(INPUT!$B$16,INPUT!$B$7,INPUT!$E$20,INPUT!$E$18,INPUT!$E$19,TABEL!B25,TABEL!A25,INPUT!$B$18),CORET!$I$1=3,OilVisEgbogah(INPUT!$E$20,TABEL!A25,INPUT!$B$16,INPUT!$B$7,INPUT!$E$18,INPUT!$E$19,TABEL!B25,INPUT!$B$18),CORET!$I$1=4,OilVisPetro(INPUT!$E$20,TABEL!A25,INPUT!$B$16,INPUT!$B$7,INPUT!$E$18,INPUT!$E$19,B25,INPUT!$B$18),CORET!$I$1=5,OilVisMarhoun(INPUT!$B$11,INPUT!$B$16,INPUT!$B$7,TABEL!A25,INPUT!$B$18,TABEL!B25),CORET!$I$1=6,OilVisAlmae(INPUT!$E$20,INPUT!$B$11,TABEL!A25,INPUT!$B$16,INPUT!$B$7,INPUT!$E$18,INPUT!$E$19,B25,INPUT!$B$18),CORET!$I$1=7,OilVisKhan(INPUT!$E$20,INPUT!$B$11,TABEL!A25,INPUT!$B$16,INPUT!$B$7,INPUT!$E$18,INPUT!$E$19,TABEL!B25,INPUT!$B$18),CORET!$I$1=8,OilVisHanafy(INPUT!$B$16,INPUT!$E$20,INPUT!$B$11,TABEL!A25,INPUT!$B$18,TABEL!B25,G25))</f>
        <v>#VALUE!</v>
      </c>
      <c r="G25" s="14" t="e">
        <f>_xlfn.IFS(CORET!$F$1=1,CoVaquezz(INPUT!$E$20,TABEL!A25,INPUT!$B$16,INPUT!$B$7,INPUT!$E$18,INPUT!$E$19,TABEL!B25,INPUT!$B$18,INPUT!$B$11),CORET!$F$1=2,CoPetrosky(INPUT!$B$11,TABEL!A25,INPUT!$B$16,INPUT!$B$7,TABEL!B25,INPUT!$B$18),CORET!$F$1=3,CoFarshad(INPUT!$E$20,INPUT!$B$11,TABEL!A25,INPUT!$B$16,INPUT!$B$7,INPUT!$E$18,INPUT!$E$19,TABEL!B25,INPUT!$B$18),CORET!$F$1=4,CoAlmehaideb(INPUT!$E$20,TABEL!A25,INPUT!$B$16,INPUT!$B$7,INPUT!$E$18,INPUT!$E$19,TABEL!B25,INPUT!$B$18),CORET!$F$1=5,CoSharkawy(INPUT!$E$20,TABEL!A25,INPUT!$B$16,INPUT!$B$7,INPUT!$E$18,INPUT!$E$19,TABEL!B25,INPUT!$B$18),CORET!$F$1=6,CoKarto(INPUT!$E$20,TABEL!A25,INPUT!$B$16,INPUT!$B$7,INPUT!$E$18,INPUT!$E$19,TABEL!B25,INPUT!$B$18),CORET!$F$1=7,CoAhmed(INPUT!$E$20,TABEL!A25,INPUT!$B$16,INPUT!$B$7,INPUT!$E$18,INPUT!$E$19,TABEL!B25,INPUT!$B$18),CORET!$F$1=8,CoDindoruk(INPUT!$E$20,INPUT!$B$11,TABEL!A25,INPUT!$B$16,INPUT!$B$7,INPUT!$E$18,INPUT!$E$19,B25,INPUT!$B$18),CORET!$F$1=9,CoMcCain(INPUT!$E$20,TABEL!A25,INPUT!$B$16,INPUT!$B$7,INPUT!$E$18,INPUT!$E$19,B25,INPUT!$B$18),CORET!$F$1=10,CoMarhoun(INPUT!$E$20,INPUT!$B$11,TABEL!A25,INPUT!$B$16,INPUT!$B$7,B25,INPUT!$B$18),CORET!$F$1=11,CoCalhoun(INPUT!$E$20,INPUT!$B$11,TABEL!A25,INPUT!$B$16,INPUT!$B$7,INPUT!$E$18,INPUT!$E$19,TABEL!B25,INPUT!$B$18),CORET!$F$1=12,CoLabedi(INPUT!$E$20,INPUT!$B$11,TABEL!A25,INPUT!$B$16,INPUT!$B$7,TABEL!B25,INPUT!$B$18),CORET!$F$1=13,CoDegetto(INPUT!$E$20,INPUT!$B$11,TABEL!A25,INPUT!$B$16,INPUT!$B$7,INPUT!$E$18,INPUT!$E$19,TABEL!B25,INPUT!$B$18))</f>
        <v>#VALUE!</v>
      </c>
      <c r="H25" s="14">
        <f>Bggeneral(INPUT!$B$10,TABEL!A25,INPUT!$B$8,INPUT!$B$7,I25)</f>
        <v>-0.11372617264944833</v>
      </c>
      <c r="I25" s="14">
        <f>_xlfn.IFS(CORET!$E$1=1,ZAbouKassem(A25/OUTPUT!$B$17,(INPUT!$B$7+459.67)/(OUTPUT!$B$16+459.67),150,10^-12),CORET!$E$1=2,ZBeggsbrill(INPUT!$B$7+459.67,TABEL!A25,OUTPUT!$B$16+459.67,OUTPUT!$B$17),CORET!$E$1=3,hall(TABEL!A25,INPUT!$B$7+459.67,OUTPUT!$B$16+459.67,OUTPUT!$B$17),CORET!$E$1=4,zpapay(INPUT!$B$7+459.67,TABEL!A25,OUTPUT!$B$16+459.67,OUTPUT!$B$17))</f>
        <v>1.0434067260852624</v>
      </c>
      <c r="J25" s="14">
        <f>gasdensgeneral(A25,I25,INPUT!$B$7)</f>
        <v>-1.3498747153109454</v>
      </c>
      <c r="K25" s="14">
        <f>_xlfn.IFS(CORET!$J$1=1,ViscGas(TABEL!A25,INPUT!$B$7,INPUT!$B$11,TABEL!I25),CORET!$J$1=2,ViscCarr(TABEL!A25,INPUT!$B$7,INPUT!$B$11,OUTPUT!$B$17,OUTPUT!$B$16,INPUT!$E$15,INPUT!$E$14,INPUT!$E$13),CORET!$J$1=3,VisJossi(TABEL!A25,OUTPUT!$B$17,INPUT!$B$7,OUTPUT!$B$16,I25,INPUT!$B$11),CORET!$J$1=4,VisDean(TABEL!A25,OUTPUT!$B$17,INPUT!$B$7,OUTPUT!$B$16,I25,INPUT!$B$11),CORET!$J$1=5,VisLucas(TABEL!A25,OUTPUT!$B$17,INPUT!$B$7,OUTPUT!$B$16,INPUT!$B$11),CORET!$J$1=6,VisLondono(TABEL!A25,I25,INPUT!$B$7,INPUT!$B$11),CORET!$J$1=7,VisSutton(TABEL!A25,I25,INPUT!$B$7,OUTPUT!$B$16,INPUT!$B$11,OUTPUT!$B$17))</f>
        <v>8.7116212376068831E-3</v>
      </c>
      <c r="L25" s="14">
        <f>_xlfn.IFS(CORET!$K$1=1,CgHall(TABEL!A25,INPUT!$B$7,OUTPUT!$B$16,OUTPUT!$B$17,TABEL!I25),CORET!$K$1=2,CgDranchuk(TABEL!A25,INPUT!$B$7,OUTPUT!$B$16,OUTPUT!$B$17,TABEL!I25))</f>
        <v>-3.0772926467500677E-3</v>
      </c>
      <c r="M25" s="12">
        <f>_xlfn.IFS(CORET!$M$1=1,BWMeehan(TABEL!A25,INPUT!$B$7,CORET!$E$18,INPUT!$E$8),CORET!$M$1=2,BWMCain(TABEL!A25,INPUT!$B$7,TABEL!I25,B25,INPUT!$E$7,INPUT!$B$18,INPUT!$B$10,INPUT!$B$8))</f>
        <v>1.0184982953551194</v>
      </c>
      <c r="N25" s="14">
        <f>RswMcCain(TABEL!A25,INPUT!$B$7,INPUT!$E$7)</f>
        <v>1.292099098345117</v>
      </c>
      <c r="O25" s="14">
        <f>Density_Brine(TABEL!A25,INPUT!$B$7,INPUT!$B$18,B25,INPUT!$E$7,TABEL!Q25,INPUT!$E$8)</f>
        <v>61.235252218320284</v>
      </c>
      <c r="P25" s="14">
        <f>_xlfn.IFS(CORET!$L$1=1,ViscBrine(TABEL!A25,INPUT!$B$7,INPUT!$E$7),CORET!$L$1=2,ViscMeehan(TABEL!A25,INPUT!$B$7,INPUT!$E$8),CORET!$L$1=3,ViscKestin(TABEL!A25,INPUT!$B$7,INPUT!$E$7))</f>
        <v>0.48255669177671062</v>
      </c>
      <c r="Q25" s="77">
        <f>_xlfn.IFS(CORET!$N$1=1,CWaterMeehan(TABEL!A25,INPUT!$B$7,CORET!E36,INPUT!$E$8,N25),CORET!$N$1=2,CWater(TABEL!A25,INPUT!$B$7,I25,B25,INPUT!$E$7,INPUT!$B$18,INPUT!$B$10,INPUT!$B$8))</f>
        <v>3.1453565916438384E-5</v>
      </c>
    </row>
    <row r="26" spans="1:17" ht="15.75" thickBot="1">
      <c r="A26" s="13">
        <f>A25-(($A$7-INPUT!$B$10)/36)</f>
        <v>-449.36388888888888</v>
      </c>
      <c r="B26" s="17" t="str">
        <f>IF(A26&gt;=INPUT!$B$18,"Unsaturated","Saturated")</f>
        <v>Saturated</v>
      </c>
      <c r="C26" s="14" t="e">
        <f>_xlfn.IFS(CORET!$A$1=1,RSGLASO(INPUT!$B$16,INPUT!$B$11,INPUT!$B$7,B26,TABEL!A26,INPUT!$B$18),CORET!$A$1=2,RSSTANDING(A26,INPUT!$B$16,INPUT!$B$7,INPUT!$B$11,B26,INPUT!$B$18),CORET!$A$1=3,RSVASCUESS(INPUT!$E$20,A26,INPUT!$B$16,INPUT!$B$7,INPUT!$E$18,INPUT!$E$19,B26,INPUT!$B$18),CORET!$A$1=4,RSLASATER(A26,INPUT!$B$16,INPUT!$B$7,INPUT!$B$11,INPUT!$B$18,B26),CORET!$A$1=5,RSFARSHAD(TABEL!A26,INPUT!$B$18,INPUT!$B$16,INPUT!$B$7,INPUT!$B$11,B26),CORET!$A$1=6,RSKARTO(INPUT!$E$18,INPUT!$E$19,INPUT!$B$16,INPUT!$E$20,A26,INPUT!$B$18,INPUT!$B$7,B26),CORET!$A$1=7,RSMARHOUN(INPUT!$B$11,INPUT!$B$16,INPUT!$B$7,A26,INPUT!$B$18,B26),CORET!$A$1=8,RSHANAFY(A26,INPUT!$B$18,B26),CORET!$A$1=9,RSVELARDE(A26,INPUT!$B$18,INPUT!$B$11,INPUT!$B$16,INPUT!$B$7,B26),CORET!$A$1=10,RSFARSHAD(TABEL!A26,INPUT!$B$18,INPUT!$B$16,INPUT!$B$7,INPUT!$B$11,TABEL!B26))</f>
        <v>#VALUE!</v>
      </c>
      <c r="D26" s="14" t="e">
        <f>_xlfn.IFS(CORET!$G$1=1,standingBO(INPUT!$B$7,INPUT!$B$11,INPUT!$B$16,G26,B26,TABEL!A26,INPUT!$B$18),CORET!$G$1=2,VasquezzBO(INPUT!$B$7,INPUT!$E$20,INPUT!$B$11,INPUT!$B$16,TABEL!G26,TABEL!B26,TABEL!A26,INPUT!$B$18,INPUT!$E$19,INPUT!$E$18),CORET!$G$1=3,GlasoBo(INPUT!$B$11,INPUT!$B$16,INPUT!$B$7,TABEL!A26,B26,INPUT!$B$18,G26),CORET!$G$1=4,FarshadBo(INPUT!$B$11,INPUT!$B$16,INPUT!$B$7,TABEL!A26,INPUT!$B$18,TABEL!G26,TABEL!B26),CORET!$G$1=5,LeblancBo(G26,TABEL!A26,INPUT!$B$18,INPUT!$B$16,INPUT!$B$7,INPUT!$B$11,TABEL!B26),CORET!$G$1=6,MarhounBo(G26,INPUT!$B$11,INPUT!$B$16,INPUT!$B$7,TABEL!A26,INPUT!$B$18,TABEL!B26),CORET!$G$1=7,KartoBo(G26,INPUT!$E$18,INPUT!$E$19,INPUT!$B$16,INPUT!$E$20,TABEL!A26,INPUT!$B$18,INPUT!$B$7,TABEL!B26),CORET!$G$1=8,AlmaedhaidebBo(G26,INPUT!$E$20,TABEL!A26,INPUT!$B$16,INPUT!$B$7,INPUT!$E$18,INPUT!$E$19,TABEL!B26,INPUT!$B$18),CORET!$G$1=9,AlshammasiBo(G26,INPUT!$B$11,INPUT!$E$20,TABEL!A26,INPUT!$B$16,INPUT!$B$7,INPUT!$E$18,INPUT!$E$19,TABEL!B26,INPUT!$B$18),CORET!$G$1=10,SharkawyBo(G26,INPUT!$B$11,INPUT!$E$20,TABEL!A26,INPUT!$B$16,INPUT!$B$7,INPUT!$E$18,INPUT!$E$19,TABEL!B26,INPUT!$B$18),CORET!$G$1=11,OsmanBo(G26,INPUT!$B$11,INPUT!$E$20,TABEL!A26,INPUT!$B$16,INPUT!$B$7,INPUT!$E$18,INPUT!$E$19,TABEL!B26,INPUT!$B$18),CORET!$G$1=12,HanafyBo(G26,TABEL!A26,INPUT!$B$18,B26))</f>
        <v>#VALUE!</v>
      </c>
      <c r="E26" s="14" t="e">
        <f>_xlfn.IFS(CORET!$H$1=1,oildensstandard(INPUT!$B$16,C26,INPUT!$B$11,D26,G26,B26),CORET!$H$1=2,oildenshanafy(INPUT!$B$16,INPUT!$B$11,G26,TABEL!A26,INPUT!$B$18,TABEL!B26),CORET!$H$1=3,oildensstanding(INPUT!$B$16,INPUT!$E$20,INPUT!$B$11,TABEL!A26,INPUT!$B$18,TABEL!B26,G26),CORET!$H$1=4,oildensbalance(INPUT!$B$16,INPUT!$B$11,INPUT!$B$18,C26,G26,A26,INPUT!$B$7,D26,B26))</f>
        <v>#VALUE!</v>
      </c>
      <c r="F26" s="14" t="e">
        <f>_xlfn.IFS(CORET!$I$1=1,OilVisBeggs(INPUT!$B$16,INPUT!$B$7,INPUT!$E$20,INPUT!$E$18,INPUT!$E$19,TABEL!B26,TABEL!A26,INPUT!$B$18),CORET!$I$1=2,OilVisBeal(INPUT!$B$16,INPUT!$B$7,INPUT!$E$20,INPUT!$E$18,INPUT!$E$19,TABEL!B26,TABEL!A26,INPUT!$B$18),CORET!$I$1=3,OilVisEgbogah(INPUT!$E$20,TABEL!A26,INPUT!$B$16,INPUT!$B$7,INPUT!$E$18,INPUT!$E$19,TABEL!B26,INPUT!$B$18),CORET!$I$1=4,OilVisPetro(INPUT!$E$20,TABEL!A26,INPUT!$B$16,INPUT!$B$7,INPUT!$E$18,INPUT!$E$19,B26,INPUT!$B$18),CORET!$I$1=5,OilVisMarhoun(INPUT!$B$11,INPUT!$B$16,INPUT!$B$7,TABEL!A26,INPUT!$B$18,TABEL!B26),CORET!$I$1=6,OilVisAlmae(INPUT!$E$20,INPUT!$B$11,TABEL!A26,INPUT!$B$16,INPUT!$B$7,INPUT!$E$18,INPUT!$E$19,B26,INPUT!$B$18),CORET!$I$1=7,OilVisKhan(INPUT!$E$20,INPUT!$B$11,TABEL!A26,INPUT!$B$16,INPUT!$B$7,INPUT!$E$18,INPUT!$E$19,TABEL!B26,INPUT!$B$18),CORET!$I$1=8,OilVisHanafy(INPUT!$B$16,INPUT!$E$20,INPUT!$B$11,TABEL!A26,INPUT!$B$18,TABEL!B26,G26))</f>
        <v>#VALUE!</v>
      </c>
      <c r="G26" s="14" t="e">
        <f>_xlfn.IFS(CORET!$F$1=1,CoVaquezz(INPUT!$E$20,TABEL!A26,INPUT!$B$16,INPUT!$B$7,INPUT!$E$18,INPUT!$E$19,TABEL!B26,INPUT!$B$18,INPUT!$B$11),CORET!$F$1=2,CoPetrosky(INPUT!$B$11,TABEL!A26,INPUT!$B$16,INPUT!$B$7,TABEL!B26,INPUT!$B$18),CORET!$F$1=3,CoFarshad(INPUT!$E$20,INPUT!$B$11,TABEL!A26,INPUT!$B$16,INPUT!$B$7,INPUT!$E$18,INPUT!$E$19,TABEL!B26,INPUT!$B$18),CORET!$F$1=4,CoAlmehaideb(INPUT!$E$20,TABEL!A26,INPUT!$B$16,INPUT!$B$7,INPUT!$E$18,INPUT!$E$19,TABEL!B26,INPUT!$B$18),CORET!$F$1=5,CoSharkawy(INPUT!$E$20,TABEL!A26,INPUT!$B$16,INPUT!$B$7,INPUT!$E$18,INPUT!$E$19,TABEL!B26,INPUT!$B$18),CORET!$F$1=6,CoKarto(INPUT!$E$20,TABEL!A26,INPUT!$B$16,INPUT!$B$7,INPUT!$E$18,INPUT!$E$19,TABEL!B26,INPUT!$B$18),CORET!$F$1=7,CoAhmed(INPUT!$E$20,TABEL!A26,INPUT!$B$16,INPUT!$B$7,INPUT!$E$18,INPUT!$E$19,TABEL!B26,INPUT!$B$18),CORET!$F$1=8,CoDindoruk(INPUT!$E$20,INPUT!$B$11,TABEL!A26,INPUT!$B$16,INPUT!$B$7,INPUT!$E$18,INPUT!$E$19,B26,INPUT!$B$18),CORET!$F$1=9,CoMcCain(INPUT!$E$20,TABEL!A26,INPUT!$B$16,INPUT!$B$7,INPUT!$E$18,INPUT!$E$19,B26,INPUT!$B$18),CORET!$F$1=10,CoMarhoun(INPUT!$E$20,INPUT!$B$11,TABEL!A26,INPUT!$B$16,INPUT!$B$7,B26,INPUT!$B$18),CORET!$F$1=11,CoCalhoun(INPUT!$E$20,INPUT!$B$11,TABEL!A26,INPUT!$B$16,INPUT!$B$7,INPUT!$E$18,INPUT!$E$19,TABEL!B26,INPUT!$B$18),CORET!$F$1=12,CoLabedi(INPUT!$E$20,INPUT!$B$11,TABEL!A26,INPUT!$B$16,INPUT!$B$7,TABEL!B26,INPUT!$B$18),CORET!$F$1=13,CoDegetto(INPUT!$E$20,INPUT!$B$11,TABEL!A26,INPUT!$B$16,INPUT!$B$7,INPUT!$E$18,INPUT!$E$19,TABEL!B26,INPUT!$B$18))</f>
        <v>#VALUE!</v>
      </c>
      <c r="H26" s="14">
        <f>Bggeneral(INPUT!$B$10,TABEL!A26,INPUT!$B$8,INPUT!$B$7,I26)</f>
        <v>-8.0140270372604572E-2</v>
      </c>
      <c r="I26" s="14">
        <f>_xlfn.IFS(CORET!$E$1=1,ZAbouKassem(A26/OUTPUT!$B$17,(INPUT!$B$7+459.67)/(OUTPUT!$B$16+459.67),150,10^-12),CORET!$E$1=2,ZBeggsbrill(INPUT!$B$7+459.67,TABEL!A26,OUTPUT!$B$16+459.67,OUTPUT!$B$17),CORET!$E$1=3,hall(TABEL!A26,INPUT!$B$7+459.67,OUTPUT!$B$16+459.67,OUTPUT!$B$17),CORET!$E$1=4,zpapay(INPUT!$B$7+459.67,TABEL!A26,OUTPUT!$B$16+459.67,OUTPUT!$B$17))</f>
        <v>1.062783348100838</v>
      </c>
      <c r="J26" s="14">
        <f>gasdensgeneral(A26,I26,INPUT!$B$7)</f>
        <v>-1.9155923010344109</v>
      </c>
      <c r="K26" s="14">
        <f>_xlfn.IFS(CORET!$J$1=1,ViscGas(TABEL!A26,INPUT!$B$7,INPUT!$B$11,TABEL!I26),CORET!$J$1=2,ViscCarr(TABEL!A26,INPUT!$B$7,INPUT!$B$11,OUTPUT!$B$17,OUTPUT!$B$16,INPUT!$E$15,INPUT!$E$14,INPUT!$E$13),CORET!$J$1=3,VisJossi(TABEL!A26,OUTPUT!$B$17,INPUT!$B$7,OUTPUT!$B$16,I26,INPUT!$B$11),CORET!$J$1=4,VisDean(TABEL!A26,OUTPUT!$B$17,INPUT!$B$7,OUTPUT!$B$16,I26,INPUT!$B$11),CORET!$J$1=5,VisLucas(TABEL!A26,OUTPUT!$B$17,INPUT!$B$7,OUTPUT!$B$16,INPUT!$B$11),CORET!$J$1=6,VisLondono(TABEL!A26,I26,INPUT!$B$7,INPUT!$B$11),CORET!$J$1=7,VisSutton(TABEL!A26,I26,INPUT!$B$7,OUTPUT!$B$16,INPUT!$B$11,OUTPUT!$B$17))</f>
        <v>8.3011510427168211E-3</v>
      </c>
      <c r="L26" s="14">
        <f>_xlfn.IFS(CORET!$K$1=1,CgHall(TABEL!A26,INPUT!$B$7,OUTPUT!$B$16,OUTPUT!$B$17,TABEL!I26),CORET!$K$1=2,CgDranchuk(TABEL!A26,INPUT!$B$7,OUTPUT!$B$16,OUTPUT!$B$17,TABEL!I26))</f>
        <v>-2.0868992886181157E-3</v>
      </c>
      <c r="M26" s="12">
        <f>_xlfn.IFS(CORET!$M$1=1,BWMeehan(TABEL!A26,INPUT!$B$7,CORET!$E$18,INPUT!$E$8),CORET!$M$1=2,BWMCain(TABEL!A26,INPUT!$B$7,TABEL!I26,B26,INPUT!$E$7,INPUT!$B$18,INPUT!$B$10,INPUT!$B$8))</f>
        <v>1.0185596871524922</v>
      </c>
      <c r="N26" s="14">
        <f>RswMcCain(TABEL!A26,INPUT!$B$7,INPUT!$E$7)</f>
        <v>0.59364528721874787</v>
      </c>
      <c r="O26" s="14">
        <f>Density_Brine(TABEL!A26,INPUT!$B$7,INPUT!$B$18,B26,INPUT!$E$7,TABEL!Q26,INPUT!$E$8)</f>
        <v>61.231561376984544</v>
      </c>
      <c r="P26" s="14">
        <f>_xlfn.IFS(CORET!$L$1=1,ViscBrine(TABEL!A26,INPUT!$B$7,INPUT!$E$7),CORET!$L$1=2,ViscMeehan(TABEL!A26,INPUT!$B$7,INPUT!$E$8),CORET!$L$1=3,ViscKestin(TABEL!A26,INPUT!$B$7,INPUT!$E$7))</f>
        <v>0.48235478093002276</v>
      </c>
      <c r="Q26" s="77">
        <f>_xlfn.IFS(CORET!$N$1=1,CWaterMeehan(TABEL!A26,INPUT!$B$7,CORET!E37,INPUT!$E$8,N26),CORET!$N$1=2,CWater(TABEL!A26,INPUT!$B$7,I26,B26,INPUT!$E$7,INPUT!$B$18,INPUT!$B$10,INPUT!$B$8))</f>
        <v>3.1568440062303302E-5</v>
      </c>
    </row>
    <row r="27" spans="1:17" ht="15.75" thickBot="1">
      <c r="A27" s="13">
        <f>A26-(($A$7-INPUT!$B$10)/36)</f>
        <v>-587.84444444444443</v>
      </c>
      <c r="B27" s="17" t="str">
        <f>IF(A27&gt;=INPUT!$B$18,"Unsaturated","Saturated")</f>
        <v>Saturated</v>
      </c>
      <c r="C27" s="14" t="e">
        <f>_xlfn.IFS(CORET!$A$1=1,RSGLASO(INPUT!$B$16,INPUT!$B$11,INPUT!$B$7,B27,TABEL!A27,INPUT!$B$18),CORET!$A$1=2,RSSTANDING(A27,INPUT!$B$16,INPUT!$B$7,INPUT!$B$11,B27,INPUT!$B$18),CORET!$A$1=3,RSVASCUESS(INPUT!$E$20,A27,INPUT!$B$16,INPUT!$B$7,INPUT!$E$18,INPUT!$E$19,B27,INPUT!$B$18),CORET!$A$1=4,RSLASATER(A27,INPUT!$B$16,INPUT!$B$7,INPUT!$B$11,INPUT!$B$18,B27),CORET!$A$1=5,RSFARSHAD(TABEL!A27,INPUT!$B$18,INPUT!$B$16,INPUT!$B$7,INPUT!$B$11,B27),CORET!$A$1=6,RSKARTO(INPUT!$E$18,INPUT!$E$19,INPUT!$B$16,INPUT!$E$20,A27,INPUT!$B$18,INPUT!$B$7,B27),CORET!$A$1=7,RSMARHOUN(INPUT!$B$11,INPUT!$B$16,INPUT!$B$7,A27,INPUT!$B$18,B27),CORET!$A$1=8,RSHANAFY(A27,INPUT!$B$18,B27),CORET!$A$1=9,RSVELARDE(A27,INPUT!$B$18,INPUT!$B$11,INPUT!$B$16,INPUT!$B$7,B27),CORET!$A$1=10,RSFARSHAD(TABEL!A27,INPUT!$B$18,INPUT!$B$16,INPUT!$B$7,INPUT!$B$11,TABEL!B27))</f>
        <v>#VALUE!</v>
      </c>
      <c r="D27" s="14" t="e">
        <f>_xlfn.IFS(CORET!$G$1=1,standingBO(INPUT!$B$7,INPUT!$B$11,INPUT!$B$16,G27,B27,TABEL!A27,INPUT!$B$18),CORET!$G$1=2,VasquezzBO(INPUT!$B$7,INPUT!$E$20,INPUT!$B$11,INPUT!$B$16,TABEL!G27,TABEL!B27,TABEL!A27,INPUT!$B$18,INPUT!$E$19,INPUT!$E$18),CORET!$G$1=3,GlasoBo(INPUT!$B$11,INPUT!$B$16,INPUT!$B$7,TABEL!A27,B27,INPUT!$B$18,G27),CORET!$G$1=4,FarshadBo(INPUT!$B$11,INPUT!$B$16,INPUT!$B$7,TABEL!A27,INPUT!$B$18,TABEL!G27,TABEL!B27),CORET!$G$1=5,LeblancBo(G27,TABEL!A27,INPUT!$B$18,INPUT!$B$16,INPUT!$B$7,INPUT!$B$11,TABEL!B27),CORET!$G$1=6,MarhounBo(G27,INPUT!$B$11,INPUT!$B$16,INPUT!$B$7,TABEL!A27,INPUT!$B$18,TABEL!B27),CORET!$G$1=7,KartoBo(G27,INPUT!$E$18,INPUT!$E$19,INPUT!$B$16,INPUT!$E$20,TABEL!A27,INPUT!$B$18,INPUT!$B$7,TABEL!B27),CORET!$G$1=8,AlmaedhaidebBo(G27,INPUT!$E$20,TABEL!A27,INPUT!$B$16,INPUT!$B$7,INPUT!$E$18,INPUT!$E$19,TABEL!B27,INPUT!$B$18),CORET!$G$1=9,AlshammasiBo(G27,INPUT!$B$11,INPUT!$E$20,TABEL!A27,INPUT!$B$16,INPUT!$B$7,INPUT!$E$18,INPUT!$E$19,TABEL!B27,INPUT!$B$18),CORET!$G$1=10,SharkawyBo(G27,INPUT!$B$11,INPUT!$E$20,TABEL!A27,INPUT!$B$16,INPUT!$B$7,INPUT!$E$18,INPUT!$E$19,TABEL!B27,INPUT!$B$18),CORET!$G$1=11,OsmanBo(G27,INPUT!$B$11,INPUT!$E$20,TABEL!A27,INPUT!$B$16,INPUT!$B$7,INPUT!$E$18,INPUT!$E$19,TABEL!B27,INPUT!$B$18),CORET!$G$1=12,HanafyBo(G27,TABEL!A27,INPUT!$B$18,B27))</f>
        <v>#VALUE!</v>
      </c>
      <c r="E27" s="14" t="e">
        <f>_xlfn.IFS(CORET!$H$1=1,oildensstandard(INPUT!$B$16,C27,INPUT!$B$11,D27,G27,B27),CORET!$H$1=2,oildenshanafy(INPUT!$B$16,INPUT!$B$11,G27,TABEL!A27,INPUT!$B$18,TABEL!B27),CORET!$H$1=3,oildensstanding(INPUT!$B$16,INPUT!$E$20,INPUT!$B$11,TABEL!A27,INPUT!$B$18,TABEL!B27,G27),CORET!$H$1=4,oildensbalance(INPUT!$B$16,INPUT!$B$11,INPUT!$B$18,C27,G27,A27,INPUT!$B$7,D27,B27))</f>
        <v>#VALUE!</v>
      </c>
      <c r="F27" s="14" t="e">
        <f>_xlfn.IFS(CORET!$I$1=1,OilVisBeggs(INPUT!$B$16,INPUT!$B$7,INPUT!$E$20,INPUT!$E$18,INPUT!$E$19,TABEL!B27,TABEL!A27,INPUT!$B$18),CORET!$I$1=2,OilVisBeal(INPUT!$B$16,INPUT!$B$7,INPUT!$E$20,INPUT!$E$18,INPUT!$E$19,TABEL!B27,TABEL!A27,INPUT!$B$18),CORET!$I$1=3,OilVisEgbogah(INPUT!$E$20,TABEL!A27,INPUT!$B$16,INPUT!$B$7,INPUT!$E$18,INPUT!$E$19,TABEL!B27,INPUT!$B$18),CORET!$I$1=4,OilVisPetro(INPUT!$E$20,TABEL!A27,INPUT!$B$16,INPUT!$B$7,INPUT!$E$18,INPUT!$E$19,B27,INPUT!$B$18),CORET!$I$1=5,OilVisMarhoun(INPUT!$B$11,INPUT!$B$16,INPUT!$B$7,TABEL!A27,INPUT!$B$18,TABEL!B27),CORET!$I$1=6,OilVisAlmae(INPUT!$E$20,INPUT!$B$11,TABEL!A27,INPUT!$B$16,INPUT!$B$7,INPUT!$E$18,INPUT!$E$19,B27,INPUT!$B$18),CORET!$I$1=7,OilVisKhan(INPUT!$E$20,INPUT!$B$11,TABEL!A27,INPUT!$B$16,INPUT!$B$7,INPUT!$E$18,INPUT!$E$19,TABEL!B27,INPUT!$B$18),CORET!$I$1=8,OilVisHanafy(INPUT!$B$16,INPUT!$E$20,INPUT!$B$11,TABEL!A27,INPUT!$B$18,TABEL!B27,G27))</f>
        <v>#VALUE!</v>
      </c>
      <c r="G27" s="14" t="e">
        <f>_xlfn.IFS(CORET!$F$1=1,CoVaquezz(INPUT!$E$20,TABEL!A27,INPUT!$B$16,INPUT!$B$7,INPUT!$E$18,INPUT!$E$19,TABEL!B27,INPUT!$B$18,INPUT!$B$11),CORET!$F$1=2,CoPetrosky(INPUT!$B$11,TABEL!A27,INPUT!$B$16,INPUT!$B$7,TABEL!B27,INPUT!$B$18),CORET!$F$1=3,CoFarshad(INPUT!$E$20,INPUT!$B$11,TABEL!A27,INPUT!$B$16,INPUT!$B$7,INPUT!$E$18,INPUT!$E$19,TABEL!B27,INPUT!$B$18),CORET!$F$1=4,CoAlmehaideb(INPUT!$E$20,TABEL!A27,INPUT!$B$16,INPUT!$B$7,INPUT!$E$18,INPUT!$E$19,TABEL!B27,INPUT!$B$18),CORET!$F$1=5,CoSharkawy(INPUT!$E$20,TABEL!A27,INPUT!$B$16,INPUT!$B$7,INPUT!$E$18,INPUT!$E$19,TABEL!B27,INPUT!$B$18),CORET!$F$1=6,CoKarto(INPUT!$E$20,TABEL!A27,INPUT!$B$16,INPUT!$B$7,INPUT!$E$18,INPUT!$E$19,TABEL!B27,INPUT!$B$18),CORET!$F$1=7,CoAhmed(INPUT!$E$20,TABEL!A27,INPUT!$B$16,INPUT!$B$7,INPUT!$E$18,INPUT!$E$19,TABEL!B27,INPUT!$B$18),CORET!$F$1=8,CoDindoruk(INPUT!$E$20,INPUT!$B$11,TABEL!A27,INPUT!$B$16,INPUT!$B$7,INPUT!$E$18,INPUT!$E$19,B27,INPUT!$B$18),CORET!$F$1=9,CoMcCain(INPUT!$E$20,TABEL!A27,INPUT!$B$16,INPUT!$B$7,INPUT!$E$18,INPUT!$E$19,B27,INPUT!$B$18),CORET!$F$1=10,CoMarhoun(INPUT!$E$20,INPUT!$B$11,TABEL!A27,INPUT!$B$16,INPUT!$B$7,B27,INPUT!$B$18),CORET!$F$1=11,CoCalhoun(INPUT!$E$20,INPUT!$B$11,TABEL!A27,INPUT!$B$16,INPUT!$B$7,INPUT!$E$18,INPUT!$E$19,TABEL!B27,INPUT!$B$18),CORET!$F$1=12,CoLabedi(INPUT!$E$20,INPUT!$B$11,TABEL!A27,INPUT!$B$16,INPUT!$B$7,TABEL!B27,INPUT!$B$18),CORET!$F$1=13,CoDegetto(INPUT!$E$20,INPUT!$B$11,TABEL!A27,INPUT!$B$16,INPUT!$B$7,INPUT!$E$18,INPUT!$E$19,TABEL!B27,INPUT!$B$18))</f>
        <v>#VALUE!</v>
      </c>
      <c r="H27" s="14">
        <f>Bggeneral(INPUT!$B$10,TABEL!A27,INPUT!$B$8,INPUT!$B$7,I27)</f>
        <v>-6.2376551761197822E-2</v>
      </c>
      <c r="I27" s="14">
        <f>_xlfn.IFS(CORET!$E$1=1,ZAbouKassem(A27/OUTPUT!$B$17,(INPUT!$B$7+459.67)/(OUTPUT!$B$16+459.67),150,10^-12),CORET!$E$1=2,ZBeggsbrill(INPUT!$B$7+459.67,TABEL!A27,OUTPUT!$B$16+459.67,OUTPUT!$B$17),CORET!$E$1=3,hall(TABEL!A27,INPUT!$B$7+459.67,OUTPUT!$B$16+459.67,OUTPUT!$B$17),CORET!$E$1=4,zpapay(INPUT!$B$7+459.67,TABEL!A27,OUTPUT!$B$16+459.67,OUTPUT!$B$17))</f>
        <v>1.0821302798963919</v>
      </c>
      <c r="J27" s="14">
        <f>gasdensgeneral(A27,I27,INPUT!$B$7)</f>
        <v>-2.4611184907479005</v>
      </c>
      <c r="K27" s="14">
        <f>_xlfn.IFS(CORET!$J$1=1,ViscGas(TABEL!A27,INPUT!$B$7,INPUT!$B$11,TABEL!I27),CORET!$J$1=2,ViscCarr(TABEL!A27,INPUT!$B$7,INPUT!$B$11,OUTPUT!$B$17,OUTPUT!$B$16,INPUT!$E$15,INPUT!$E$14,INPUT!$E$13),CORET!$J$1=3,VisJossi(TABEL!A27,OUTPUT!$B$17,INPUT!$B$7,OUTPUT!$B$16,I27,INPUT!$B$11),CORET!$J$1=4,VisDean(TABEL!A27,OUTPUT!$B$17,INPUT!$B$7,OUTPUT!$B$16,I27,INPUT!$B$11),CORET!$J$1=5,VisLucas(TABEL!A27,OUTPUT!$B$17,INPUT!$B$7,OUTPUT!$B$16,INPUT!$B$11),CORET!$J$1=6,VisLondono(TABEL!A27,I27,INPUT!$B$7,INPUT!$B$11),CORET!$J$1=7,VisSutton(TABEL!A27,I27,INPUT!$B$7,OUTPUT!$B$16,INPUT!$B$11,OUTPUT!$B$17))</f>
        <v>7.9020918620021884E-3</v>
      </c>
      <c r="L27" s="14">
        <f>_xlfn.IFS(CORET!$K$1=1,CgHall(TABEL!A27,INPUT!$B$7,OUTPUT!$B$16,OUTPUT!$B$17,TABEL!I27),CORET!$K$1=2,CgDranchuk(TABEL!A27,INPUT!$B$7,OUTPUT!$B$16,OUTPUT!$B$17,TABEL!I27))</f>
        <v>-1.5639882145703009E-3</v>
      </c>
      <c r="M27" s="12">
        <f>_xlfn.IFS(CORET!$M$1=1,BWMeehan(TABEL!A27,INPUT!$B$7,CORET!$E$18,INPUT!$E$8),CORET!$M$1=2,BWMCain(TABEL!A27,INPUT!$B$7,TABEL!I27,B27,INPUT!$E$7,INPUT!$B$18,INPUT!$B$10,INPUT!$B$8))</f>
        <v>1.0186113598637332</v>
      </c>
      <c r="N27" s="14">
        <f>RswMcCain(TABEL!A27,INPUT!$B$7,INPUT!$E$7)</f>
        <v>-0.11255398387265082</v>
      </c>
      <c r="O27" s="14">
        <f>Density_Brine(TABEL!A27,INPUT!$B$7,INPUT!$B$18,B27,INPUT!$E$7,TABEL!Q27,INPUT!$E$8)</f>
        <v>61.228455186621332</v>
      </c>
      <c r="P27" s="14">
        <f>_xlfn.IFS(CORET!$L$1=1,ViscBrine(TABEL!A27,INPUT!$B$7,INPUT!$E$7),CORET!$L$1=2,ViscMeehan(TABEL!A27,INPUT!$B$7,INPUT!$E$8),CORET!$L$1=3,ViscKestin(TABEL!A27,INPUT!$B$7,INPUT!$E$7))</f>
        <v>0.48215287008333479</v>
      </c>
      <c r="Q27" s="77">
        <f>_xlfn.IFS(CORET!$N$1=1,CWaterMeehan(TABEL!A27,INPUT!$B$7,CORET!E38,INPUT!$E$8,N27),CORET!$N$1=2,CWater(TABEL!A27,INPUT!$B$7,I27,B27,INPUT!$E$7,INPUT!$B$18,INPUT!$B$10,INPUT!$B$8))</f>
        <v>3.1683272898823231E-5</v>
      </c>
    </row>
    <row r="28" spans="1:17" ht="15.75" thickBot="1">
      <c r="A28" s="13">
        <f>A27-(($A$7-INPUT!$B$10)/36)</f>
        <v>-726.32500000000005</v>
      </c>
      <c r="B28" s="17" t="str">
        <f>IF(A28&gt;=INPUT!$B$18,"Unsaturated","Saturated")</f>
        <v>Saturated</v>
      </c>
      <c r="C28" s="14" t="e">
        <f>_xlfn.IFS(CORET!$A$1=1,RSGLASO(INPUT!$B$16,INPUT!$B$11,INPUT!$B$7,B28,TABEL!A28,INPUT!$B$18),CORET!$A$1=2,RSSTANDING(A28,INPUT!$B$16,INPUT!$B$7,INPUT!$B$11,B28,INPUT!$B$18),CORET!$A$1=3,RSVASCUESS(INPUT!$E$20,A28,INPUT!$B$16,INPUT!$B$7,INPUT!$E$18,INPUT!$E$19,B28,INPUT!$B$18),CORET!$A$1=4,RSLASATER(A28,INPUT!$B$16,INPUT!$B$7,INPUT!$B$11,INPUT!$B$18,B28),CORET!$A$1=5,RSFARSHAD(TABEL!A28,INPUT!$B$18,INPUT!$B$16,INPUT!$B$7,INPUT!$B$11,B28),CORET!$A$1=6,RSKARTO(INPUT!$E$18,INPUT!$E$19,INPUT!$B$16,INPUT!$E$20,A28,INPUT!$B$18,INPUT!$B$7,B28),CORET!$A$1=7,RSMARHOUN(INPUT!$B$11,INPUT!$B$16,INPUT!$B$7,A28,INPUT!$B$18,B28),CORET!$A$1=8,RSHANAFY(A28,INPUT!$B$18,B28),CORET!$A$1=9,RSVELARDE(A28,INPUT!$B$18,INPUT!$B$11,INPUT!$B$16,INPUT!$B$7,B28),CORET!$A$1=10,RSFARSHAD(TABEL!A28,INPUT!$B$18,INPUT!$B$16,INPUT!$B$7,INPUT!$B$11,TABEL!B28))</f>
        <v>#VALUE!</v>
      </c>
      <c r="D28" s="14" t="e">
        <f>_xlfn.IFS(CORET!$G$1=1,standingBO(INPUT!$B$7,INPUT!$B$11,INPUT!$B$16,G28,B28,TABEL!A28,INPUT!$B$18),CORET!$G$1=2,VasquezzBO(INPUT!$B$7,INPUT!$E$20,INPUT!$B$11,INPUT!$B$16,TABEL!G28,TABEL!B28,TABEL!A28,INPUT!$B$18,INPUT!$E$19,INPUT!$E$18),CORET!$G$1=3,GlasoBo(INPUT!$B$11,INPUT!$B$16,INPUT!$B$7,TABEL!A28,B28,INPUT!$B$18,G28),CORET!$G$1=4,FarshadBo(INPUT!$B$11,INPUT!$B$16,INPUT!$B$7,TABEL!A28,INPUT!$B$18,TABEL!G28,TABEL!B28),CORET!$G$1=5,LeblancBo(G28,TABEL!A28,INPUT!$B$18,INPUT!$B$16,INPUT!$B$7,INPUT!$B$11,TABEL!B28),CORET!$G$1=6,MarhounBo(G28,INPUT!$B$11,INPUT!$B$16,INPUT!$B$7,TABEL!A28,INPUT!$B$18,TABEL!B28),CORET!$G$1=7,KartoBo(G28,INPUT!$E$18,INPUT!$E$19,INPUT!$B$16,INPUT!$E$20,TABEL!A28,INPUT!$B$18,INPUT!$B$7,TABEL!B28),CORET!$G$1=8,AlmaedhaidebBo(G28,INPUT!$E$20,TABEL!A28,INPUT!$B$16,INPUT!$B$7,INPUT!$E$18,INPUT!$E$19,TABEL!B28,INPUT!$B$18),CORET!$G$1=9,AlshammasiBo(G28,INPUT!$B$11,INPUT!$E$20,TABEL!A28,INPUT!$B$16,INPUT!$B$7,INPUT!$E$18,INPUT!$E$19,TABEL!B28,INPUT!$B$18),CORET!$G$1=10,SharkawyBo(G28,INPUT!$B$11,INPUT!$E$20,TABEL!A28,INPUT!$B$16,INPUT!$B$7,INPUT!$E$18,INPUT!$E$19,TABEL!B28,INPUT!$B$18),CORET!$G$1=11,OsmanBo(G28,INPUT!$B$11,INPUT!$E$20,TABEL!A28,INPUT!$B$16,INPUT!$B$7,INPUT!$E$18,INPUT!$E$19,TABEL!B28,INPUT!$B$18),CORET!$G$1=12,HanafyBo(G28,TABEL!A28,INPUT!$B$18,B28))</f>
        <v>#VALUE!</v>
      </c>
      <c r="E28" s="14" t="e">
        <f>_xlfn.IFS(CORET!$H$1=1,oildensstandard(INPUT!$B$16,C28,INPUT!$B$11,D28,G28,B28),CORET!$H$1=2,oildenshanafy(INPUT!$B$16,INPUT!$B$11,G28,TABEL!A28,INPUT!$B$18,TABEL!B28),CORET!$H$1=3,oildensstanding(INPUT!$B$16,INPUT!$E$20,INPUT!$B$11,TABEL!A28,INPUT!$B$18,TABEL!B28,G28),CORET!$H$1=4,oildensbalance(INPUT!$B$16,INPUT!$B$11,INPUT!$B$18,C28,G28,A28,INPUT!$B$7,D28,B28))</f>
        <v>#VALUE!</v>
      </c>
      <c r="F28" s="14" t="e">
        <f>_xlfn.IFS(CORET!$I$1=1,OilVisBeggs(INPUT!$B$16,INPUT!$B$7,INPUT!$E$20,INPUT!$E$18,INPUT!$E$19,TABEL!B28,TABEL!A28,INPUT!$B$18),CORET!$I$1=2,OilVisBeal(INPUT!$B$16,INPUT!$B$7,INPUT!$E$20,INPUT!$E$18,INPUT!$E$19,TABEL!B28,TABEL!A28,INPUT!$B$18),CORET!$I$1=3,OilVisEgbogah(INPUT!$E$20,TABEL!A28,INPUT!$B$16,INPUT!$B$7,INPUT!$E$18,INPUT!$E$19,TABEL!B28,INPUT!$B$18),CORET!$I$1=4,OilVisPetro(INPUT!$E$20,TABEL!A28,INPUT!$B$16,INPUT!$B$7,INPUT!$E$18,INPUT!$E$19,B28,INPUT!$B$18),CORET!$I$1=5,OilVisMarhoun(INPUT!$B$11,INPUT!$B$16,INPUT!$B$7,TABEL!A28,INPUT!$B$18,TABEL!B28),CORET!$I$1=6,OilVisAlmae(INPUT!$E$20,INPUT!$B$11,TABEL!A28,INPUT!$B$16,INPUT!$B$7,INPUT!$E$18,INPUT!$E$19,B28,INPUT!$B$18),CORET!$I$1=7,OilVisKhan(INPUT!$E$20,INPUT!$B$11,TABEL!A28,INPUT!$B$16,INPUT!$B$7,INPUT!$E$18,INPUT!$E$19,TABEL!B28,INPUT!$B$18),CORET!$I$1=8,OilVisHanafy(INPUT!$B$16,INPUT!$E$20,INPUT!$B$11,TABEL!A28,INPUT!$B$18,TABEL!B28,G28))</f>
        <v>#VALUE!</v>
      </c>
      <c r="G28" s="14" t="e">
        <f>_xlfn.IFS(CORET!$F$1=1,CoVaquezz(INPUT!$E$20,TABEL!A28,INPUT!$B$16,INPUT!$B$7,INPUT!$E$18,INPUT!$E$19,TABEL!B28,INPUT!$B$18,INPUT!$B$11),CORET!$F$1=2,CoPetrosky(INPUT!$B$11,TABEL!A28,INPUT!$B$16,INPUT!$B$7,TABEL!B28,INPUT!$B$18),CORET!$F$1=3,CoFarshad(INPUT!$E$20,INPUT!$B$11,TABEL!A28,INPUT!$B$16,INPUT!$B$7,INPUT!$E$18,INPUT!$E$19,TABEL!B28,INPUT!$B$18),CORET!$F$1=4,CoAlmehaideb(INPUT!$E$20,TABEL!A28,INPUT!$B$16,INPUT!$B$7,INPUT!$E$18,INPUT!$E$19,TABEL!B28,INPUT!$B$18),CORET!$F$1=5,CoSharkawy(INPUT!$E$20,TABEL!A28,INPUT!$B$16,INPUT!$B$7,INPUT!$E$18,INPUT!$E$19,TABEL!B28,INPUT!$B$18),CORET!$F$1=6,CoKarto(INPUT!$E$20,TABEL!A28,INPUT!$B$16,INPUT!$B$7,INPUT!$E$18,INPUT!$E$19,TABEL!B28,INPUT!$B$18),CORET!$F$1=7,CoAhmed(INPUT!$E$20,TABEL!A28,INPUT!$B$16,INPUT!$B$7,INPUT!$E$18,INPUT!$E$19,TABEL!B28,INPUT!$B$18),CORET!$F$1=8,CoDindoruk(INPUT!$E$20,INPUT!$B$11,TABEL!A28,INPUT!$B$16,INPUT!$B$7,INPUT!$E$18,INPUT!$E$19,B28,INPUT!$B$18),CORET!$F$1=9,CoMcCain(INPUT!$E$20,TABEL!A28,INPUT!$B$16,INPUT!$B$7,INPUT!$E$18,INPUT!$E$19,B28,INPUT!$B$18),CORET!$F$1=10,CoMarhoun(INPUT!$E$20,INPUT!$B$11,TABEL!A28,INPUT!$B$16,INPUT!$B$7,B28,INPUT!$B$18),CORET!$F$1=11,CoCalhoun(INPUT!$E$20,INPUT!$B$11,TABEL!A28,INPUT!$B$16,INPUT!$B$7,INPUT!$E$18,INPUT!$E$19,TABEL!B28,INPUT!$B$18),CORET!$F$1=12,CoLabedi(INPUT!$E$20,INPUT!$B$11,TABEL!A28,INPUT!$B$16,INPUT!$B$7,TABEL!B28,INPUT!$B$18),CORET!$F$1=13,CoDegetto(INPUT!$E$20,INPUT!$B$11,TABEL!A28,INPUT!$B$16,INPUT!$B$7,INPUT!$E$18,INPUT!$E$19,TABEL!B28,INPUT!$B$18))</f>
        <v>#VALUE!</v>
      </c>
      <c r="H28" s="14">
        <f>Bggeneral(INPUT!$B$10,TABEL!A28,INPUT!$B$8,INPUT!$B$7,I28)</f>
        <v>-5.1383699001462814E-2</v>
      </c>
      <c r="I28" s="14">
        <f>_xlfn.IFS(CORET!$E$1=1,ZAbouKassem(A28/OUTPUT!$B$17,(INPUT!$B$7+459.67)/(OUTPUT!$B$16+459.67),150,10^-12),CORET!$E$1=2,ZBeggsbrill(INPUT!$B$7+459.67,TABEL!A28,OUTPUT!$B$16+459.67,OUTPUT!$B$17),CORET!$E$1=3,hall(TABEL!A28,INPUT!$B$7+459.67,OUTPUT!$B$16+459.67,OUTPUT!$B$17),CORET!$E$1=4,zpapay(INPUT!$B$7+459.67,TABEL!A28,OUTPUT!$B$16+459.67,OUTPUT!$B$17))</f>
        <v>1.1014178898844595</v>
      </c>
      <c r="J28" s="14">
        <f>gasdensgeneral(A28,I28,INPUT!$B$7)</f>
        <v>-2.9876417601661389</v>
      </c>
      <c r="K28" s="14">
        <f>_xlfn.IFS(CORET!$J$1=1,ViscGas(TABEL!A28,INPUT!$B$7,INPUT!$B$11,TABEL!I28),CORET!$J$1=2,ViscCarr(TABEL!A28,INPUT!$B$7,INPUT!$B$11,OUTPUT!$B$17,OUTPUT!$B$16,INPUT!$E$15,INPUT!$E$14,INPUT!$E$13),CORET!$J$1=3,VisJossi(TABEL!A28,OUTPUT!$B$17,INPUT!$B$7,OUTPUT!$B$16,I28,INPUT!$B$11),CORET!$J$1=4,VisDean(TABEL!A28,OUTPUT!$B$17,INPUT!$B$7,OUTPUT!$B$16,I28,INPUT!$B$11),CORET!$J$1=5,VisLucas(TABEL!A28,OUTPUT!$B$17,INPUT!$B$7,OUTPUT!$B$16,INPUT!$B$11),CORET!$J$1=6,VisLondono(TABEL!A28,I28,INPUT!$B$7,INPUT!$B$11),CORET!$J$1=7,VisSutton(TABEL!A28,I28,INPUT!$B$7,OUTPUT!$B$16,INPUT!$B$11,OUTPUT!$B$17))</f>
        <v>7.514588264178214E-3</v>
      </c>
      <c r="L28" s="14">
        <f>_xlfn.IFS(CORET!$K$1=1,CgHall(TABEL!A28,INPUT!$B$7,OUTPUT!$B$16,OUTPUT!$B$17,TABEL!I28),CORET!$K$1=2,CgDranchuk(TABEL!A28,INPUT!$B$7,OUTPUT!$B$16,OUTPUT!$B$17,TABEL!I28))</f>
        <v>-1.2413216600594772E-3</v>
      </c>
      <c r="M28" s="12">
        <f>_xlfn.IFS(CORET!$M$1=1,BWMeehan(TABEL!A28,INPUT!$B$7,CORET!$E$18,INPUT!$E$8),CORET!$M$1=2,BWMCain(TABEL!A28,INPUT!$B$7,TABEL!I28,B28,INPUT!$E$7,INPUT!$B$18,INPUT!$B$10,INPUT!$B$8))</f>
        <v>1.0186533134888416</v>
      </c>
      <c r="N28" s="14">
        <f>RswMcCain(TABEL!A28,INPUT!$B$7,INPUT!$E$7)</f>
        <v>-0.82649871492907978</v>
      </c>
      <c r="O28" s="14">
        <f>Density_Brine(TABEL!A28,INPUT!$B$7,INPUT!$B$18,B28,INPUT!$E$7,TABEL!Q28,INPUT!$E$8)</f>
        <v>61.225933469349272</v>
      </c>
      <c r="P28" s="14">
        <f>_xlfn.IFS(CORET!$L$1=1,ViscBrine(TABEL!A28,INPUT!$B$7,INPUT!$E$7),CORET!$L$1=2,ViscMeehan(TABEL!A28,INPUT!$B$7,INPUT!$E$8),CORET!$L$1=3,ViscKestin(TABEL!A28,INPUT!$B$7,INPUT!$E$7))</f>
        <v>0.48195095923664688</v>
      </c>
      <c r="Q28" s="77">
        <f>_xlfn.IFS(CORET!$N$1=1,CWaterMeehan(TABEL!A28,INPUT!$B$7,CORET!E39,INPUT!$E$8,N28),CORET!$N$1=2,CWater(TABEL!A28,INPUT!$B$7,I28,B28,INPUT!$E$7,INPUT!$B$18,INPUT!$B$10,INPUT!$B$8))</f>
        <v>3.1798064151184761E-5</v>
      </c>
    </row>
    <row r="29" spans="1:17" ht="15.75" thickBot="1">
      <c r="A29" s="13">
        <f>A28-(($A$7-INPUT!$B$10)/36)</f>
        <v>-864.80555555555566</v>
      </c>
      <c r="B29" s="17" t="str">
        <f>IF(A29&gt;=INPUT!$B$18,"Unsaturated","Saturated")</f>
        <v>Saturated</v>
      </c>
      <c r="C29" s="14" t="e">
        <f>_xlfn.IFS(CORET!$A$1=1,RSGLASO(INPUT!$B$16,INPUT!$B$11,INPUT!$B$7,B29,TABEL!A29,INPUT!$B$18),CORET!$A$1=2,RSSTANDING(A29,INPUT!$B$16,INPUT!$B$7,INPUT!$B$11,B29,INPUT!$B$18),CORET!$A$1=3,RSVASCUESS(INPUT!$E$20,A29,INPUT!$B$16,INPUT!$B$7,INPUT!$E$18,INPUT!$E$19,B29,INPUT!$B$18),CORET!$A$1=4,RSLASATER(A29,INPUT!$B$16,INPUT!$B$7,INPUT!$B$11,INPUT!$B$18,B29),CORET!$A$1=5,RSFARSHAD(TABEL!A29,INPUT!$B$18,INPUT!$B$16,INPUT!$B$7,INPUT!$B$11,B29),CORET!$A$1=6,RSKARTO(INPUT!$E$18,INPUT!$E$19,INPUT!$B$16,INPUT!$E$20,A29,INPUT!$B$18,INPUT!$B$7,B29),CORET!$A$1=7,RSMARHOUN(INPUT!$B$11,INPUT!$B$16,INPUT!$B$7,A29,INPUT!$B$18,B29),CORET!$A$1=8,RSHANAFY(A29,INPUT!$B$18,B29),CORET!$A$1=9,RSVELARDE(A29,INPUT!$B$18,INPUT!$B$11,INPUT!$B$16,INPUT!$B$7,B29),CORET!$A$1=10,RSFARSHAD(TABEL!A29,INPUT!$B$18,INPUT!$B$16,INPUT!$B$7,INPUT!$B$11,TABEL!B29))</f>
        <v>#VALUE!</v>
      </c>
      <c r="D29" s="14" t="e">
        <f>_xlfn.IFS(CORET!$G$1=1,standingBO(INPUT!$B$7,INPUT!$B$11,INPUT!$B$16,G29,B29,TABEL!A29,INPUT!$B$18),CORET!$G$1=2,VasquezzBO(INPUT!$B$7,INPUT!$E$20,INPUT!$B$11,INPUT!$B$16,TABEL!G29,TABEL!B29,TABEL!A29,INPUT!$B$18,INPUT!$E$19,INPUT!$E$18),CORET!$G$1=3,GlasoBo(INPUT!$B$11,INPUT!$B$16,INPUT!$B$7,TABEL!A29,B29,INPUT!$B$18,G29),CORET!$G$1=4,FarshadBo(INPUT!$B$11,INPUT!$B$16,INPUT!$B$7,TABEL!A29,INPUT!$B$18,TABEL!G29,TABEL!B29),CORET!$G$1=5,LeblancBo(G29,TABEL!A29,INPUT!$B$18,INPUT!$B$16,INPUT!$B$7,INPUT!$B$11,TABEL!B29),CORET!$G$1=6,MarhounBo(G29,INPUT!$B$11,INPUT!$B$16,INPUT!$B$7,TABEL!A29,INPUT!$B$18,TABEL!B29),CORET!$G$1=7,KartoBo(G29,INPUT!$E$18,INPUT!$E$19,INPUT!$B$16,INPUT!$E$20,TABEL!A29,INPUT!$B$18,INPUT!$B$7,TABEL!B29),CORET!$G$1=8,AlmaedhaidebBo(G29,INPUT!$E$20,TABEL!A29,INPUT!$B$16,INPUT!$B$7,INPUT!$E$18,INPUT!$E$19,TABEL!B29,INPUT!$B$18),CORET!$G$1=9,AlshammasiBo(G29,INPUT!$B$11,INPUT!$E$20,TABEL!A29,INPUT!$B$16,INPUT!$B$7,INPUT!$E$18,INPUT!$E$19,TABEL!B29,INPUT!$B$18),CORET!$G$1=10,SharkawyBo(G29,INPUT!$B$11,INPUT!$E$20,TABEL!A29,INPUT!$B$16,INPUT!$B$7,INPUT!$E$18,INPUT!$E$19,TABEL!B29,INPUT!$B$18),CORET!$G$1=11,OsmanBo(G29,INPUT!$B$11,INPUT!$E$20,TABEL!A29,INPUT!$B$16,INPUT!$B$7,INPUT!$E$18,INPUT!$E$19,TABEL!B29,INPUT!$B$18),CORET!$G$1=12,HanafyBo(G29,TABEL!A29,INPUT!$B$18,B29))</f>
        <v>#VALUE!</v>
      </c>
      <c r="E29" s="14" t="e">
        <f>_xlfn.IFS(CORET!$H$1=1,oildensstandard(INPUT!$B$16,C29,INPUT!$B$11,D29,G29,B29),CORET!$H$1=2,oildenshanafy(INPUT!$B$16,INPUT!$B$11,G29,TABEL!A29,INPUT!$B$18,TABEL!B29),CORET!$H$1=3,oildensstanding(INPUT!$B$16,INPUT!$E$20,INPUT!$B$11,TABEL!A29,INPUT!$B$18,TABEL!B29,G29),CORET!$H$1=4,oildensbalance(INPUT!$B$16,INPUT!$B$11,INPUT!$B$18,C29,G29,A29,INPUT!$B$7,D29,B29))</f>
        <v>#VALUE!</v>
      </c>
      <c r="F29" s="14" t="e">
        <f>_xlfn.IFS(CORET!$I$1=1,OilVisBeggs(INPUT!$B$16,INPUT!$B$7,INPUT!$E$20,INPUT!$E$18,INPUT!$E$19,TABEL!B29,TABEL!A29,INPUT!$B$18),CORET!$I$1=2,OilVisBeal(INPUT!$B$16,INPUT!$B$7,INPUT!$E$20,INPUT!$E$18,INPUT!$E$19,TABEL!B29,TABEL!A29,INPUT!$B$18),CORET!$I$1=3,OilVisEgbogah(INPUT!$E$20,TABEL!A29,INPUT!$B$16,INPUT!$B$7,INPUT!$E$18,INPUT!$E$19,TABEL!B29,INPUT!$B$18),CORET!$I$1=4,OilVisPetro(INPUT!$E$20,TABEL!A29,INPUT!$B$16,INPUT!$B$7,INPUT!$E$18,INPUT!$E$19,B29,INPUT!$B$18),CORET!$I$1=5,OilVisMarhoun(INPUT!$B$11,INPUT!$B$16,INPUT!$B$7,TABEL!A29,INPUT!$B$18,TABEL!B29),CORET!$I$1=6,OilVisAlmae(INPUT!$E$20,INPUT!$B$11,TABEL!A29,INPUT!$B$16,INPUT!$B$7,INPUT!$E$18,INPUT!$E$19,B29,INPUT!$B$18),CORET!$I$1=7,OilVisKhan(INPUT!$E$20,INPUT!$B$11,TABEL!A29,INPUT!$B$16,INPUT!$B$7,INPUT!$E$18,INPUT!$E$19,TABEL!B29,INPUT!$B$18),CORET!$I$1=8,OilVisHanafy(INPUT!$B$16,INPUT!$E$20,INPUT!$B$11,TABEL!A29,INPUT!$B$18,TABEL!B29,G29))</f>
        <v>#VALUE!</v>
      </c>
      <c r="G29" s="14" t="e">
        <f>_xlfn.IFS(CORET!$F$1=1,CoVaquezz(INPUT!$E$20,TABEL!A29,INPUT!$B$16,INPUT!$B$7,INPUT!$E$18,INPUT!$E$19,TABEL!B29,INPUT!$B$18,INPUT!$B$11),CORET!$F$1=2,CoPetrosky(INPUT!$B$11,TABEL!A29,INPUT!$B$16,INPUT!$B$7,TABEL!B29,INPUT!$B$18),CORET!$F$1=3,CoFarshad(INPUT!$E$20,INPUT!$B$11,TABEL!A29,INPUT!$B$16,INPUT!$B$7,INPUT!$E$18,INPUT!$E$19,TABEL!B29,INPUT!$B$18),CORET!$F$1=4,CoAlmehaideb(INPUT!$E$20,TABEL!A29,INPUT!$B$16,INPUT!$B$7,INPUT!$E$18,INPUT!$E$19,TABEL!B29,INPUT!$B$18),CORET!$F$1=5,CoSharkawy(INPUT!$E$20,TABEL!A29,INPUT!$B$16,INPUT!$B$7,INPUT!$E$18,INPUT!$E$19,TABEL!B29,INPUT!$B$18),CORET!$F$1=6,CoKarto(INPUT!$E$20,TABEL!A29,INPUT!$B$16,INPUT!$B$7,INPUT!$E$18,INPUT!$E$19,TABEL!B29,INPUT!$B$18),CORET!$F$1=7,CoAhmed(INPUT!$E$20,TABEL!A29,INPUT!$B$16,INPUT!$B$7,INPUT!$E$18,INPUT!$E$19,TABEL!B29,INPUT!$B$18),CORET!$F$1=8,CoDindoruk(INPUT!$E$20,INPUT!$B$11,TABEL!A29,INPUT!$B$16,INPUT!$B$7,INPUT!$E$18,INPUT!$E$19,B29,INPUT!$B$18),CORET!$F$1=9,CoMcCain(INPUT!$E$20,TABEL!A29,INPUT!$B$16,INPUT!$B$7,INPUT!$E$18,INPUT!$E$19,B29,INPUT!$B$18),CORET!$F$1=10,CoMarhoun(INPUT!$E$20,INPUT!$B$11,TABEL!A29,INPUT!$B$16,INPUT!$B$7,B29,INPUT!$B$18),CORET!$F$1=11,CoCalhoun(INPUT!$E$20,INPUT!$B$11,TABEL!A29,INPUT!$B$16,INPUT!$B$7,INPUT!$E$18,INPUT!$E$19,TABEL!B29,INPUT!$B$18),CORET!$F$1=12,CoLabedi(INPUT!$E$20,INPUT!$B$11,TABEL!A29,INPUT!$B$16,INPUT!$B$7,TABEL!B29,INPUT!$B$18),CORET!$F$1=13,CoDegetto(INPUT!$E$20,INPUT!$B$11,TABEL!A29,INPUT!$B$16,INPUT!$B$7,INPUT!$E$18,INPUT!$E$19,TABEL!B29,INPUT!$B$18))</f>
        <v>#VALUE!</v>
      </c>
      <c r="H29" s="14">
        <f>Bggeneral(INPUT!$B$10,TABEL!A29,INPUT!$B$8,INPUT!$B$7,I29)</f>
        <v>-4.3908127506882312E-2</v>
      </c>
      <c r="I29" s="14">
        <f>_xlfn.IFS(CORET!$E$1=1,ZAbouKassem(A29/OUTPUT!$B$17,(INPUT!$B$7+459.67)/(OUTPUT!$B$16+459.67),150,10^-12),CORET!$E$1=2,ZBeggsbrill(INPUT!$B$7+459.67,TABEL!A29,OUTPUT!$B$16+459.67,OUTPUT!$B$17),CORET!$E$1=3,hall(TABEL!A29,INPUT!$B$7+459.67,OUTPUT!$B$16+459.67,OUTPUT!$B$17),CORET!$E$1=4,zpapay(INPUT!$B$7+459.67,TABEL!A29,OUTPUT!$B$16+459.67,OUTPUT!$B$17))</f>
        <v>1.1206220305710375</v>
      </c>
      <c r="J29" s="14">
        <f>gasdensgeneral(A29,I29,INPUT!$B$7)</f>
        <v>-3.496302248473584</v>
      </c>
      <c r="K29" s="14">
        <f>_xlfn.IFS(CORET!$J$1=1,ViscGas(TABEL!A29,INPUT!$B$7,INPUT!$B$11,TABEL!I29),CORET!$J$1=2,ViscCarr(TABEL!A29,INPUT!$B$7,INPUT!$B$11,OUTPUT!$B$17,OUTPUT!$B$16,INPUT!$E$15,INPUT!$E$14,INPUT!$E$13),CORET!$J$1=3,VisJossi(TABEL!A29,OUTPUT!$B$17,INPUT!$B$7,OUTPUT!$B$16,I29,INPUT!$B$11),CORET!$J$1=4,VisDean(TABEL!A29,OUTPUT!$B$17,INPUT!$B$7,OUTPUT!$B$16,I29,INPUT!$B$11),CORET!$J$1=5,VisLucas(TABEL!A29,OUTPUT!$B$17,INPUT!$B$7,OUTPUT!$B$16,INPUT!$B$11),CORET!$J$1=6,VisLondono(TABEL!A29,I29,INPUT!$B$7,INPUT!$B$11),CORET!$J$1=7,VisSutton(TABEL!A29,I29,INPUT!$B$7,OUTPUT!$B$16,INPUT!$B$11,OUTPUT!$B$17))</f>
        <v>7.1387569288349122E-3</v>
      </c>
      <c r="L29" s="14">
        <f>_xlfn.IFS(CORET!$K$1=1,CgHall(TABEL!A29,INPUT!$B$7,OUTPUT!$B$16,OUTPUT!$B$17,TABEL!I29),CORET!$K$1=2,CgDranchuk(TABEL!A29,INPUT!$B$7,OUTPUT!$B$16,OUTPUT!$B$17,TABEL!I29))</f>
        <v>-1.0227852965296411E-3</v>
      </c>
      <c r="M29" s="12">
        <f>_xlfn.IFS(CORET!$M$1=1,BWMeehan(TABEL!A29,INPUT!$B$7,CORET!$E$18,INPUT!$E$8),CORET!$M$1=2,BWMCain(TABEL!A29,INPUT!$B$7,TABEL!I29,B29,INPUT!$E$7,INPUT!$B$18,INPUT!$B$10,INPUT!$B$8))</f>
        <v>1.0186855480278179</v>
      </c>
      <c r="N29" s="14">
        <f>RswMcCain(TABEL!A29,INPUT!$B$7,INPUT!$E$7)</f>
        <v>-1.5481889059505389</v>
      </c>
      <c r="O29" s="14">
        <f>Density_Brine(TABEL!A29,INPUT!$B$7,INPUT!$B$18,B29,INPUT!$E$7,TABEL!Q29,INPUT!$E$8)</f>
        <v>61.223996080777695</v>
      </c>
      <c r="P29" s="14">
        <f>_xlfn.IFS(CORET!$L$1=1,ViscBrine(TABEL!A29,INPUT!$B$7,INPUT!$E$7),CORET!$L$1=2,ViscMeehan(TABEL!A29,INPUT!$B$7,INPUT!$E$8),CORET!$L$1=3,ViscKestin(TABEL!A29,INPUT!$B$7,INPUT!$E$7))</f>
        <v>0.48174904838995891</v>
      </c>
      <c r="Q29" s="77">
        <f>_xlfn.IFS(CORET!$N$1=1,CWaterMeehan(TABEL!A29,INPUT!$B$7,CORET!E40,INPUT!$E$8,N29),CORET!$N$1=2,CWater(TABEL!A29,INPUT!$B$7,I29,B29,INPUT!$E$7,INPUT!$B$18,INPUT!$B$10,INPUT!$B$8))</f>
        <v>3.191281354457451E-5</v>
      </c>
    </row>
    <row r="30" spans="1:17" ht="15.75" thickBot="1">
      <c r="A30" s="13">
        <f>A29-(($A$7-INPUT!$B$10)/36)</f>
        <v>-1003.2861111111113</v>
      </c>
      <c r="B30" s="17" t="str">
        <f>IF(A30&gt;=INPUT!$B$18,"Unsaturated","Saturated")</f>
        <v>Saturated</v>
      </c>
      <c r="C30" s="14" t="e">
        <f>_xlfn.IFS(CORET!$A$1=1,RSGLASO(INPUT!$B$16,INPUT!$B$11,INPUT!$B$7,B30,TABEL!A30,INPUT!$B$18),CORET!$A$1=2,RSSTANDING(A30,INPUT!$B$16,INPUT!$B$7,INPUT!$B$11,B30,INPUT!$B$18),CORET!$A$1=3,RSVASCUESS(INPUT!$E$20,A30,INPUT!$B$16,INPUT!$B$7,INPUT!$E$18,INPUT!$E$19,B30,INPUT!$B$18),CORET!$A$1=4,RSLASATER(A30,INPUT!$B$16,INPUT!$B$7,INPUT!$B$11,INPUT!$B$18,B30),CORET!$A$1=5,RSFARSHAD(TABEL!A30,INPUT!$B$18,INPUT!$B$16,INPUT!$B$7,INPUT!$B$11,B30),CORET!$A$1=6,RSKARTO(INPUT!$E$18,INPUT!$E$19,INPUT!$B$16,INPUT!$E$20,A30,INPUT!$B$18,INPUT!$B$7,B30),CORET!$A$1=7,RSMARHOUN(INPUT!$B$11,INPUT!$B$16,INPUT!$B$7,A30,INPUT!$B$18,B30),CORET!$A$1=8,RSHANAFY(A30,INPUT!$B$18,B30),CORET!$A$1=9,RSVELARDE(A30,INPUT!$B$18,INPUT!$B$11,INPUT!$B$16,INPUT!$B$7,B30),CORET!$A$1=10,RSFARSHAD(TABEL!A30,INPUT!$B$18,INPUT!$B$16,INPUT!$B$7,INPUT!$B$11,TABEL!B30))</f>
        <v>#VALUE!</v>
      </c>
      <c r="D30" s="14" t="e">
        <f>_xlfn.IFS(CORET!$G$1=1,standingBO(INPUT!$B$7,INPUT!$B$11,INPUT!$B$16,G30,B30,TABEL!A30,INPUT!$B$18),CORET!$G$1=2,VasquezzBO(INPUT!$B$7,INPUT!$E$20,INPUT!$B$11,INPUT!$B$16,TABEL!G30,TABEL!B30,TABEL!A30,INPUT!$B$18,INPUT!$E$19,INPUT!$E$18),CORET!$G$1=3,GlasoBo(INPUT!$B$11,INPUT!$B$16,INPUT!$B$7,TABEL!A30,B30,INPUT!$B$18,G30),CORET!$G$1=4,FarshadBo(INPUT!$B$11,INPUT!$B$16,INPUT!$B$7,TABEL!A30,INPUT!$B$18,TABEL!G30,TABEL!B30),CORET!$G$1=5,LeblancBo(G30,TABEL!A30,INPUT!$B$18,INPUT!$B$16,INPUT!$B$7,INPUT!$B$11,TABEL!B30),CORET!$G$1=6,MarhounBo(G30,INPUT!$B$11,INPUT!$B$16,INPUT!$B$7,TABEL!A30,INPUT!$B$18,TABEL!B30),CORET!$G$1=7,KartoBo(G30,INPUT!$E$18,INPUT!$E$19,INPUT!$B$16,INPUT!$E$20,TABEL!A30,INPUT!$B$18,INPUT!$B$7,TABEL!B30),CORET!$G$1=8,AlmaedhaidebBo(G30,INPUT!$E$20,TABEL!A30,INPUT!$B$16,INPUT!$B$7,INPUT!$E$18,INPUT!$E$19,TABEL!B30,INPUT!$B$18),CORET!$G$1=9,AlshammasiBo(G30,INPUT!$B$11,INPUT!$E$20,TABEL!A30,INPUT!$B$16,INPUT!$B$7,INPUT!$E$18,INPUT!$E$19,TABEL!B30,INPUT!$B$18),CORET!$G$1=10,SharkawyBo(G30,INPUT!$B$11,INPUT!$E$20,TABEL!A30,INPUT!$B$16,INPUT!$B$7,INPUT!$E$18,INPUT!$E$19,TABEL!B30,INPUT!$B$18),CORET!$G$1=11,OsmanBo(G30,INPUT!$B$11,INPUT!$E$20,TABEL!A30,INPUT!$B$16,INPUT!$B$7,INPUT!$E$18,INPUT!$E$19,TABEL!B30,INPUT!$B$18),CORET!$G$1=12,HanafyBo(G30,TABEL!A30,INPUT!$B$18,B30))</f>
        <v>#VALUE!</v>
      </c>
      <c r="E30" s="14" t="e">
        <f>_xlfn.IFS(CORET!$H$1=1,oildensstandard(INPUT!$B$16,C30,INPUT!$B$11,D30,G30,B30),CORET!$H$1=2,oildenshanafy(INPUT!$B$16,INPUT!$B$11,G30,TABEL!A30,INPUT!$B$18,TABEL!B30),CORET!$H$1=3,oildensstanding(INPUT!$B$16,INPUT!$E$20,INPUT!$B$11,TABEL!A30,INPUT!$B$18,TABEL!B30,G30),CORET!$H$1=4,oildensbalance(INPUT!$B$16,INPUT!$B$11,INPUT!$B$18,C30,G30,A30,INPUT!$B$7,D30,B30))</f>
        <v>#VALUE!</v>
      </c>
      <c r="F30" s="14" t="e">
        <f>_xlfn.IFS(CORET!$I$1=1,OilVisBeggs(INPUT!$B$16,INPUT!$B$7,INPUT!$E$20,INPUT!$E$18,INPUT!$E$19,TABEL!B30,TABEL!A30,INPUT!$B$18),CORET!$I$1=2,OilVisBeal(INPUT!$B$16,INPUT!$B$7,INPUT!$E$20,INPUT!$E$18,INPUT!$E$19,TABEL!B30,TABEL!A30,INPUT!$B$18),CORET!$I$1=3,OilVisEgbogah(INPUT!$E$20,TABEL!A30,INPUT!$B$16,INPUT!$B$7,INPUT!$E$18,INPUT!$E$19,TABEL!B30,INPUT!$B$18),CORET!$I$1=4,OilVisPetro(INPUT!$E$20,TABEL!A30,INPUT!$B$16,INPUT!$B$7,INPUT!$E$18,INPUT!$E$19,B30,INPUT!$B$18),CORET!$I$1=5,OilVisMarhoun(INPUT!$B$11,INPUT!$B$16,INPUT!$B$7,TABEL!A30,INPUT!$B$18,TABEL!B30),CORET!$I$1=6,OilVisAlmae(INPUT!$E$20,INPUT!$B$11,TABEL!A30,INPUT!$B$16,INPUT!$B$7,INPUT!$E$18,INPUT!$E$19,B30,INPUT!$B$18),CORET!$I$1=7,OilVisKhan(INPUT!$E$20,INPUT!$B$11,TABEL!A30,INPUT!$B$16,INPUT!$B$7,INPUT!$E$18,INPUT!$E$19,TABEL!B30,INPUT!$B$18),CORET!$I$1=8,OilVisHanafy(INPUT!$B$16,INPUT!$E$20,INPUT!$B$11,TABEL!A30,INPUT!$B$18,TABEL!B30,G30))</f>
        <v>#VALUE!</v>
      </c>
      <c r="G30" s="14" t="e">
        <f>_xlfn.IFS(CORET!$F$1=1,CoVaquezz(INPUT!$E$20,TABEL!A30,INPUT!$B$16,INPUT!$B$7,INPUT!$E$18,INPUT!$E$19,TABEL!B30,INPUT!$B$18,INPUT!$B$11),CORET!$F$1=2,CoPetrosky(INPUT!$B$11,TABEL!A30,INPUT!$B$16,INPUT!$B$7,TABEL!B30,INPUT!$B$18),CORET!$F$1=3,CoFarshad(INPUT!$E$20,INPUT!$B$11,TABEL!A30,INPUT!$B$16,INPUT!$B$7,INPUT!$E$18,INPUT!$E$19,TABEL!B30,INPUT!$B$18),CORET!$F$1=4,CoAlmehaideb(INPUT!$E$20,TABEL!A30,INPUT!$B$16,INPUT!$B$7,INPUT!$E$18,INPUT!$E$19,TABEL!B30,INPUT!$B$18),CORET!$F$1=5,CoSharkawy(INPUT!$E$20,TABEL!A30,INPUT!$B$16,INPUT!$B$7,INPUT!$E$18,INPUT!$E$19,TABEL!B30,INPUT!$B$18),CORET!$F$1=6,CoKarto(INPUT!$E$20,TABEL!A30,INPUT!$B$16,INPUT!$B$7,INPUT!$E$18,INPUT!$E$19,TABEL!B30,INPUT!$B$18),CORET!$F$1=7,CoAhmed(INPUT!$E$20,TABEL!A30,INPUT!$B$16,INPUT!$B$7,INPUT!$E$18,INPUT!$E$19,TABEL!B30,INPUT!$B$18),CORET!$F$1=8,CoDindoruk(INPUT!$E$20,INPUT!$B$11,TABEL!A30,INPUT!$B$16,INPUT!$B$7,INPUT!$E$18,INPUT!$E$19,B30,INPUT!$B$18),CORET!$F$1=9,CoMcCain(INPUT!$E$20,TABEL!A30,INPUT!$B$16,INPUT!$B$7,INPUT!$E$18,INPUT!$E$19,B30,INPUT!$B$18),CORET!$F$1=10,CoMarhoun(INPUT!$E$20,INPUT!$B$11,TABEL!A30,INPUT!$B$16,INPUT!$B$7,B30,INPUT!$B$18),CORET!$F$1=11,CoCalhoun(INPUT!$E$20,INPUT!$B$11,TABEL!A30,INPUT!$B$16,INPUT!$B$7,INPUT!$E$18,INPUT!$E$19,TABEL!B30,INPUT!$B$18),CORET!$F$1=12,CoLabedi(INPUT!$E$20,INPUT!$B$11,TABEL!A30,INPUT!$B$16,INPUT!$B$7,TABEL!B30,INPUT!$B$18),CORET!$F$1=13,CoDegetto(INPUT!$E$20,INPUT!$B$11,TABEL!A30,INPUT!$B$16,INPUT!$B$7,INPUT!$E$18,INPUT!$E$19,TABEL!B30,INPUT!$B$18))</f>
        <v>#VALUE!</v>
      </c>
      <c r="H30" s="14">
        <f>Bggeneral(INPUT!$B$10,TABEL!A30,INPUT!$B$8,INPUT!$B$7,I30)</f>
        <v>-3.8492732401691029E-2</v>
      </c>
      <c r="I30" s="14">
        <f>_xlfn.IFS(CORET!$E$1=1,ZAbouKassem(A30/OUTPUT!$B$17,(INPUT!$B$7+459.67)/(OUTPUT!$B$16+459.67),150,10^-12),CORET!$E$1=2,ZBeggsbrill(INPUT!$B$7+459.67,TABEL!A30,OUTPUT!$B$16+459.67,OUTPUT!$B$17),CORET!$E$1=3,hall(TABEL!A30,INPUT!$B$7+459.67,OUTPUT!$B$16+459.67,OUTPUT!$B$17),CORET!$E$1=4,zpapay(INPUT!$B$7+459.67,TABEL!A30,OUTPUT!$B$16+459.67,OUTPUT!$B$17))</f>
        <v>1.1397229912178182</v>
      </c>
      <c r="J30" s="14">
        <f>gasdensgeneral(A30,I30,INPUT!$B$7)</f>
        <v>-3.9881836219512787</v>
      </c>
      <c r="K30" s="14">
        <f>_xlfn.IFS(CORET!$J$1=1,ViscGas(TABEL!A30,INPUT!$B$7,INPUT!$B$11,TABEL!I30),CORET!$J$1=2,ViscCarr(TABEL!A30,INPUT!$B$7,INPUT!$B$11,OUTPUT!$B$17,OUTPUT!$B$16,INPUT!$E$15,INPUT!$E$14,INPUT!$E$13),CORET!$J$1=3,VisJossi(TABEL!A30,OUTPUT!$B$17,INPUT!$B$7,OUTPUT!$B$16,I30,INPUT!$B$11),CORET!$J$1=4,VisDean(TABEL!A30,OUTPUT!$B$17,INPUT!$B$7,OUTPUT!$B$16,I30,INPUT!$B$11),CORET!$J$1=5,VisLucas(TABEL!A30,OUTPUT!$B$17,INPUT!$B$7,OUTPUT!$B$16,INPUT!$B$11),CORET!$J$1=6,VisLondono(TABEL!A30,I30,INPUT!$B$7,INPUT!$B$11),CORET!$J$1=7,VisSutton(TABEL!A30,I30,INPUT!$B$7,OUTPUT!$B$16,INPUT!$B$11,OUTPUT!$B$17))</f>
        <v>6.7746867573841357E-3</v>
      </c>
      <c r="L30" s="14">
        <f>_xlfn.IFS(CORET!$K$1=1,CgHall(TABEL!A30,INPUT!$B$7,OUTPUT!$B$16,OUTPUT!$B$17,TABEL!I30),CORET!$K$1=2,CgDranchuk(TABEL!A30,INPUT!$B$7,OUTPUT!$B$16,OUTPUT!$B$17,TABEL!I30))</f>
        <v>-8.6530032744910304E-4</v>
      </c>
      <c r="M30" s="12">
        <f>_xlfn.IFS(CORET!$M$1=1,BWMeehan(TABEL!A30,INPUT!$B$7,CORET!$E$18,INPUT!$E$8),CORET!$M$1=2,BWMCain(TABEL!A30,INPUT!$B$7,TABEL!I30,B30,INPUT!$E$7,INPUT!$B$18,INPUT!$B$10,INPUT!$B$8))</f>
        <v>1.018708063480662</v>
      </c>
      <c r="N30" s="14">
        <f>RswMcCain(TABEL!A30,INPUT!$B$7,INPUT!$E$7)</f>
        <v>-2.277624556937027</v>
      </c>
      <c r="O30" s="14">
        <f>Density_Brine(TABEL!A30,INPUT!$B$7,INPUT!$B$18,B30,INPUT!$E$7,TABEL!Q30,INPUT!$E$8)</f>
        <v>61.222642909986078</v>
      </c>
      <c r="P30" s="14">
        <f>_xlfn.IFS(CORET!$L$1=1,ViscBrine(TABEL!A30,INPUT!$B$7,INPUT!$E$7),CORET!$L$1=2,ViscMeehan(TABEL!A30,INPUT!$B$7,INPUT!$E$8),CORET!$L$1=3,ViscKestin(TABEL!A30,INPUT!$B$7,INPUT!$E$7))</f>
        <v>0.481547137543271</v>
      </c>
      <c r="Q30" s="77">
        <f>_xlfn.IFS(CORET!$N$1=1,CWaterMeehan(TABEL!A30,INPUT!$B$7,CORET!E41,INPUT!$E$8,N30),CORET!$N$1=2,CWater(TABEL!A30,INPUT!$B$7,I30,B30,INPUT!$E$7,INPUT!$B$18,INPUT!$B$10,INPUT!$B$8))</f>
        <v>3.2027520804179049E-5</v>
      </c>
    </row>
    <row r="31" spans="1:17" ht="15.75" thickBot="1">
      <c r="A31" s="13">
        <f>A30-(($A$7-INPUT!$B$10)/36)</f>
        <v>-1141.7666666666669</v>
      </c>
      <c r="B31" s="17" t="str">
        <f>IF(A31&gt;=INPUT!$B$18,"Unsaturated","Saturated")</f>
        <v>Saturated</v>
      </c>
      <c r="C31" s="14" t="e">
        <f>_xlfn.IFS(CORET!$A$1=1,RSGLASO(INPUT!$B$16,INPUT!$B$11,INPUT!$B$7,B31,TABEL!A31,INPUT!$B$18),CORET!$A$1=2,RSSTANDING(A31,INPUT!$B$16,INPUT!$B$7,INPUT!$B$11,B31,INPUT!$B$18),CORET!$A$1=3,RSVASCUESS(INPUT!$E$20,A31,INPUT!$B$16,INPUT!$B$7,INPUT!$E$18,INPUT!$E$19,B31,INPUT!$B$18),CORET!$A$1=4,RSLASATER(A31,INPUT!$B$16,INPUT!$B$7,INPUT!$B$11,INPUT!$B$18,B31),CORET!$A$1=5,RSFARSHAD(TABEL!A31,INPUT!$B$18,INPUT!$B$16,INPUT!$B$7,INPUT!$B$11,B31),CORET!$A$1=6,RSKARTO(INPUT!$E$18,INPUT!$E$19,INPUT!$B$16,INPUT!$E$20,A31,INPUT!$B$18,INPUT!$B$7,B31),CORET!$A$1=7,RSMARHOUN(INPUT!$B$11,INPUT!$B$16,INPUT!$B$7,A31,INPUT!$B$18,B31),CORET!$A$1=8,RSHANAFY(A31,INPUT!$B$18,B31),CORET!$A$1=9,RSVELARDE(A31,INPUT!$B$18,INPUT!$B$11,INPUT!$B$16,INPUT!$B$7,B31),CORET!$A$1=10,RSFARSHAD(TABEL!A31,INPUT!$B$18,INPUT!$B$16,INPUT!$B$7,INPUT!$B$11,TABEL!B31))</f>
        <v>#VALUE!</v>
      </c>
      <c r="D31" s="14" t="e">
        <f>_xlfn.IFS(CORET!$G$1=1,standingBO(INPUT!$B$7,INPUT!$B$11,INPUT!$B$16,G31,B31,TABEL!A31,INPUT!$B$18),CORET!$G$1=2,VasquezzBO(INPUT!$B$7,INPUT!$E$20,INPUT!$B$11,INPUT!$B$16,TABEL!G31,TABEL!B31,TABEL!A31,INPUT!$B$18,INPUT!$E$19,INPUT!$E$18),CORET!$G$1=3,GlasoBo(INPUT!$B$11,INPUT!$B$16,INPUT!$B$7,TABEL!A31,B31,INPUT!$B$18,G31),CORET!$G$1=4,FarshadBo(INPUT!$B$11,INPUT!$B$16,INPUT!$B$7,TABEL!A31,INPUT!$B$18,TABEL!G31,TABEL!B31),CORET!$G$1=5,LeblancBo(G31,TABEL!A31,INPUT!$B$18,INPUT!$B$16,INPUT!$B$7,INPUT!$B$11,TABEL!B31),CORET!$G$1=6,MarhounBo(G31,INPUT!$B$11,INPUT!$B$16,INPUT!$B$7,TABEL!A31,INPUT!$B$18,TABEL!B31),CORET!$G$1=7,KartoBo(G31,INPUT!$E$18,INPUT!$E$19,INPUT!$B$16,INPUT!$E$20,TABEL!A31,INPUT!$B$18,INPUT!$B$7,TABEL!B31),CORET!$G$1=8,AlmaedhaidebBo(G31,INPUT!$E$20,TABEL!A31,INPUT!$B$16,INPUT!$B$7,INPUT!$E$18,INPUT!$E$19,TABEL!B31,INPUT!$B$18),CORET!$G$1=9,AlshammasiBo(G31,INPUT!$B$11,INPUT!$E$20,TABEL!A31,INPUT!$B$16,INPUT!$B$7,INPUT!$E$18,INPUT!$E$19,TABEL!B31,INPUT!$B$18),CORET!$G$1=10,SharkawyBo(G31,INPUT!$B$11,INPUT!$E$20,TABEL!A31,INPUT!$B$16,INPUT!$B$7,INPUT!$E$18,INPUT!$E$19,TABEL!B31,INPUT!$B$18),CORET!$G$1=11,OsmanBo(G31,INPUT!$B$11,INPUT!$E$20,TABEL!A31,INPUT!$B$16,INPUT!$B$7,INPUT!$E$18,INPUT!$E$19,TABEL!B31,INPUT!$B$18),CORET!$G$1=12,HanafyBo(G31,TABEL!A31,INPUT!$B$18,B31))</f>
        <v>#VALUE!</v>
      </c>
      <c r="E31" s="14" t="e">
        <f>_xlfn.IFS(CORET!$H$1=1,oildensstandard(INPUT!$B$16,C31,INPUT!$B$11,D31,G31,B31),CORET!$H$1=2,oildenshanafy(INPUT!$B$16,INPUT!$B$11,G31,TABEL!A31,INPUT!$B$18,TABEL!B31),CORET!$H$1=3,oildensstanding(INPUT!$B$16,INPUT!$E$20,INPUT!$B$11,TABEL!A31,INPUT!$B$18,TABEL!B31,G31),CORET!$H$1=4,oildensbalance(INPUT!$B$16,INPUT!$B$11,INPUT!$B$18,C31,G31,A31,INPUT!$B$7,D31,B31))</f>
        <v>#VALUE!</v>
      </c>
      <c r="F31" s="14" t="e">
        <f>_xlfn.IFS(CORET!$I$1=1,OilVisBeggs(INPUT!$B$16,INPUT!$B$7,INPUT!$E$20,INPUT!$E$18,INPUT!$E$19,TABEL!B31,TABEL!A31,INPUT!$B$18),CORET!$I$1=2,OilVisBeal(INPUT!$B$16,INPUT!$B$7,INPUT!$E$20,INPUT!$E$18,INPUT!$E$19,TABEL!B31,TABEL!A31,INPUT!$B$18),CORET!$I$1=3,OilVisEgbogah(INPUT!$E$20,TABEL!A31,INPUT!$B$16,INPUT!$B$7,INPUT!$E$18,INPUT!$E$19,TABEL!B31,INPUT!$B$18),CORET!$I$1=4,OilVisPetro(INPUT!$E$20,TABEL!A31,INPUT!$B$16,INPUT!$B$7,INPUT!$E$18,INPUT!$E$19,B31,INPUT!$B$18),CORET!$I$1=5,OilVisMarhoun(INPUT!$B$11,INPUT!$B$16,INPUT!$B$7,TABEL!A31,INPUT!$B$18,TABEL!B31),CORET!$I$1=6,OilVisAlmae(INPUT!$E$20,INPUT!$B$11,TABEL!A31,INPUT!$B$16,INPUT!$B$7,INPUT!$E$18,INPUT!$E$19,B31,INPUT!$B$18),CORET!$I$1=7,OilVisKhan(INPUT!$E$20,INPUT!$B$11,TABEL!A31,INPUT!$B$16,INPUT!$B$7,INPUT!$E$18,INPUT!$E$19,TABEL!B31,INPUT!$B$18),CORET!$I$1=8,OilVisHanafy(INPUT!$B$16,INPUT!$E$20,INPUT!$B$11,TABEL!A31,INPUT!$B$18,TABEL!B31,G31))</f>
        <v>#VALUE!</v>
      </c>
      <c r="G31" s="14" t="e">
        <f>_xlfn.IFS(CORET!$F$1=1,CoVaquezz(INPUT!$E$20,TABEL!A31,INPUT!$B$16,INPUT!$B$7,INPUT!$E$18,INPUT!$E$19,TABEL!B31,INPUT!$B$18,INPUT!$B$11),CORET!$F$1=2,CoPetrosky(INPUT!$B$11,TABEL!A31,INPUT!$B$16,INPUT!$B$7,TABEL!B31,INPUT!$B$18),CORET!$F$1=3,CoFarshad(INPUT!$E$20,INPUT!$B$11,TABEL!A31,INPUT!$B$16,INPUT!$B$7,INPUT!$E$18,INPUT!$E$19,TABEL!B31,INPUT!$B$18),CORET!$F$1=4,CoAlmehaideb(INPUT!$E$20,TABEL!A31,INPUT!$B$16,INPUT!$B$7,INPUT!$E$18,INPUT!$E$19,TABEL!B31,INPUT!$B$18),CORET!$F$1=5,CoSharkawy(INPUT!$E$20,TABEL!A31,INPUT!$B$16,INPUT!$B$7,INPUT!$E$18,INPUT!$E$19,TABEL!B31,INPUT!$B$18),CORET!$F$1=6,CoKarto(INPUT!$E$20,TABEL!A31,INPUT!$B$16,INPUT!$B$7,INPUT!$E$18,INPUT!$E$19,TABEL!B31,INPUT!$B$18),CORET!$F$1=7,CoAhmed(INPUT!$E$20,TABEL!A31,INPUT!$B$16,INPUT!$B$7,INPUT!$E$18,INPUT!$E$19,TABEL!B31,INPUT!$B$18),CORET!$F$1=8,CoDindoruk(INPUT!$E$20,INPUT!$B$11,TABEL!A31,INPUT!$B$16,INPUT!$B$7,INPUT!$E$18,INPUT!$E$19,B31,INPUT!$B$18),CORET!$F$1=9,CoMcCain(INPUT!$E$20,TABEL!A31,INPUT!$B$16,INPUT!$B$7,INPUT!$E$18,INPUT!$E$19,B31,INPUT!$B$18),CORET!$F$1=10,CoMarhoun(INPUT!$E$20,INPUT!$B$11,TABEL!A31,INPUT!$B$16,INPUT!$B$7,B31,INPUT!$B$18),CORET!$F$1=11,CoCalhoun(INPUT!$E$20,INPUT!$B$11,TABEL!A31,INPUT!$B$16,INPUT!$B$7,INPUT!$E$18,INPUT!$E$19,TABEL!B31,INPUT!$B$18),CORET!$F$1=12,CoLabedi(INPUT!$E$20,INPUT!$B$11,TABEL!A31,INPUT!$B$16,INPUT!$B$7,TABEL!B31,INPUT!$B$18),CORET!$F$1=13,CoDegetto(INPUT!$E$20,INPUT!$B$11,TABEL!A31,INPUT!$B$16,INPUT!$B$7,INPUT!$E$18,INPUT!$E$19,TABEL!B31,INPUT!$B$18))</f>
        <v>#VALUE!</v>
      </c>
      <c r="H31" s="14">
        <f>Bggeneral(INPUT!$B$10,TABEL!A31,INPUT!$B$8,INPUT!$B$7,I31)</f>
        <v>-3.4387422366372773E-2</v>
      </c>
      <c r="I31" s="14">
        <f>_xlfn.IFS(CORET!$E$1=1,ZAbouKassem(A31/OUTPUT!$B$17,(INPUT!$B$7+459.67)/(OUTPUT!$B$16+459.67),150,10^-12),CORET!$E$1=2,ZBeggsbrill(INPUT!$B$7+459.67,TABEL!A31,OUTPUT!$B$16+459.67,OUTPUT!$B$17),CORET!$E$1=3,hall(TABEL!A31,INPUT!$B$7+459.67,OUTPUT!$B$16+459.67,OUTPUT!$B$17),CORET!$E$1=4,zpapay(INPUT!$B$7+459.67,TABEL!A31,OUTPUT!$B$16+459.67,OUTPUT!$B$17))</f>
        <v>1.1587046538716597</v>
      </c>
      <c r="J31" s="14">
        <f>gasdensgeneral(A31,I31,INPUT!$B$7)</f>
        <v>-4.4643091678398017</v>
      </c>
      <c r="K31" s="14">
        <f>_xlfn.IFS(CORET!$J$1=1,ViscGas(TABEL!A31,INPUT!$B$7,INPUT!$B$11,TABEL!I31),CORET!$J$1=2,ViscCarr(TABEL!A31,INPUT!$B$7,INPUT!$B$11,OUTPUT!$B$17,OUTPUT!$B$16,INPUT!$E$15,INPUT!$E$14,INPUT!$E$13),CORET!$J$1=3,VisJossi(TABEL!A31,OUTPUT!$B$17,INPUT!$B$7,OUTPUT!$B$16,I31,INPUT!$B$11),CORET!$J$1=4,VisDean(TABEL!A31,OUTPUT!$B$17,INPUT!$B$7,OUTPUT!$B$16,I31,INPUT!$B$11),CORET!$J$1=5,VisLucas(TABEL!A31,OUTPUT!$B$17,INPUT!$B$7,OUTPUT!$B$16,INPUT!$B$11),CORET!$J$1=6,VisLondono(TABEL!A31,I31,INPUT!$B$7,INPUT!$B$11),CORET!$J$1=7,VisSutton(TABEL!A31,I31,INPUT!$B$7,OUTPUT!$B$16,INPUT!$B$11,OUTPUT!$B$17))</f>
        <v>6.4224391056956331E-3</v>
      </c>
      <c r="L31" s="14">
        <f>_xlfn.IFS(CORET!$K$1=1,CgHall(TABEL!A31,INPUT!$B$7,OUTPUT!$B$16,OUTPUT!$B$17,TABEL!I31),CORET!$K$1=2,CgDranchuk(TABEL!A31,INPUT!$B$7,OUTPUT!$B$16,OUTPUT!$B$17,TABEL!I31))</f>
        <v>-7.4666813601057284E-4</v>
      </c>
      <c r="M31" s="12">
        <f>_xlfn.IFS(CORET!$M$1=1,BWMeehan(TABEL!A31,INPUT!$B$7,CORET!$E$18,INPUT!$E$8),CORET!$M$1=2,BWMCain(TABEL!A31,INPUT!$B$7,TABEL!I31,B31,INPUT!$E$7,INPUT!$B$18,INPUT!$B$10,INPUT!$B$8))</f>
        <v>1.018720859847374</v>
      </c>
      <c r="N31" s="14">
        <f>RswMcCain(TABEL!A31,INPUT!$B$7,INPUT!$E$7)</f>
        <v>-3.0148056678885462</v>
      </c>
      <c r="O31" s="14">
        <f>Density_Brine(TABEL!A31,INPUT!$B$7,INPUT!$B$18,B31,INPUT!$E$7,TABEL!Q31,INPUT!$E$8)</f>
        <v>61.221873879508124</v>
      </c>
      <c r="P31" s="14">
        <f>_xlfn.IFS(CORET!$L$1=1,ViscBrine(TABEL!A31,INPUT!$B$7,INPUT!$E$7),CORET!$L$1=2,ViscMeehan(TABEL!A31,INPUT!$B$7,INPUT!$E$8),CORET!$L$1=3,ViscKestin(TABEL!A31,INPUT!$B$7,INPUT!$E$7))</f>
        <v>0.48134522669658308</v>
      </c>
      <c r="Q31" s="77">
        <f>_xlfn.IFS(CORET!$N$1=1,CWaterMeehan(TABEL!A31,INPUT!$B$7,CORET!E42,INPUT!$E$8,N31),CORET!$N$1=2,CWater(TABEL!A31,INPUT!$B$7,I31,B31,INPUT!$E$7,INPUT!$B$18,INPUT!$B$10,INPUT!$B$8))</f>
        <v>3.2142185655184976E-5</v>
      </c>
    </row>
    <row r="32" spans="1:17" ht="15.75" thickBot="1">
      <c r="A32" s="13">
        <f>A31-(($A$7-INPUT!$B$10)/36)</f>
        <v>-1280.2472222222225</v>
      </c>
      <c r="B32" s="17" t="str">
        <f>IF(A32&gt;=INPUT!$B$18,"Unsaturated","Saturated")</f>
        <v>Saturated</v>
      </c>
      <c r="C32" s="14" t="e">
        <f>_xlfn.IFS(CORET!$A$1=1,RSGLASO(INPUT!$B$16,INPUT!$B$11,INPUT!$B$7,B32,TABEL!A32,INPUT!$B$18),CORET!$A$1=2,RSSTANDING(A32,INPUT!$B$16,INPUT!$B$7,INPUT!$B$11,B32,INPUT!$B$18),CORET!$A$1=3,RSVASCUESS(INPUT!$E$20,A32,INPUT!$B$16,INPUT!$B$7,INPUT!$E$18,INPUT!$E$19,B32,INPUT!$B$18),CORET!$A$1=4,RSLASATER(A32,INPUT!$B$16,INPUT!$B$7,INPUT!$B$11,INPUT!$B$18,B32),CORET!$A$1=5,RSFARSHAD(TABEL!A32,INPUT!$B$18,INPUT!$B$16,INPUT!$B$7,INPUT!$B$11,B32),CORET!$A$1=6,RSKARTO(INPUT!$E$18,INPUT!$E$19,INPUT!$B$16,INPUT!$E$20,A32,INPUT!$B$18,INPUT!$B$7,B32),CORET!$A$1=7,RSMARHOUN(INPUT!$B$11,INPUT!$B$16,INPUT!$B$7,A32,INPUT!$B$18,B32),CORET!$A$1=8,RSHANAFY(A32,INPUT!$B$18,B32),CORET!$A$1=9,RSVELARDE(A32,INPUT!$B$18,INPUT!$B$11,INPUT!$B$16,INPUT!$B$7,B32),CORET!$A$1=10,RSFARSHAD(TABEL!A32,INPUT!$B$18,INPUT!$B$16,INPUT!$B$7,INPUT!$B$11,TABEL!B32))</f>
        <v>#VALUE!</v>
      </c>
      <c r="D32" s="14" t="e">
        <f>_xlfn.IFS(CORET!$G$1=1,standingBO(INPUT!$B$7,INPUT!$B$11,INPUT!$B$16,G32,B32,TABEL!A32,INPUT!$B$18),CORET!$G$1=2,VasquezzBO(INPUT!$B$7,INPUT!$E$20,INPUT!$B$11,INPUT!$B$16,TABEL!G32,TABEL!B32,TABEL!A32,INPUT!$B$18,INPUT!$E$19,INPUT!$E$18),CORET!$G$1=3,GlasoBo(INPUT!$B$11,INPUT!$B$16,INPUT!$B$7,TABEL!A32,B32,INPUT!$B$18,G32),CORET!$G$1=4,FarshadBo(INPUT!$B$11,INPUT!$B$16,INPUT!$B$7,TABEL!A32,INPUT!$B$18,TABEL!G32,TABEL!B32),CORET!$G$1=5,LeblancBo(G32,TABEL!A32,INPUT!$B$18,INPUT!$B$16,INPUT!$B$7,INPUT!$B$11,TABEL!B32),CORET!$G$1=6,MarhounBo(G32,INPUT!$B$11,INPUT!$B$16,INPUT!$B$7,TABEL!A32,INPUT!$B$18,TABEL!B32),CORET!$G$1=7,KartoBo(G32,INPUT!$E$18,INPUT!$E$19,INPUT!$B$16,INPUT!$E$20,TABEL!A32,INPUT!$B$18,INPUT!$B$7,TABEL!B32),CORET!$G$1=8,AlmaedhaidebBo(G32,INPUT!$E$20,TABEL!A32,INPUT!$B$16,INPUT!$B$7,INPUT!$E$18,INPUT!$E$19,TABEL!B32,INPUT!$B$18),CORET!$G$1=9,AlshammasiBo(G32,INPUT!$B$11,INPUT!$E$20,TABEL!A32,INPUT!$B$16,INPUT!$B$7,INPUT!$E$18,INPUT!$E$19,TABEL!B32,INPUT!$B$18),CORET!$G$1=10,SharkawyBo(G32,INPUT!$B$11,INPUT!$E$20,TABEL!A32,INPUT!$B$16,INPUT!$B$7,INPUT!$E$18,INPUT!$E$19,TABEL!B32,INPUT!$B$18),CORET!$G$1=11,OsmanBo(G32,INPUT!$B$11,INPUT!$E$20,TABEL!A32,INPUT!$B$16,INPUT!$B$7,INPUT!$E$18,INPUT!$E$19,TABEL!B32,INPUT!$B$18),CORET!$G$1=12,HanafyBo(G32,TABEL!A32,INPUT!$B$18,B32))</f>
        <v>#VALUE!</v>
      </c>
      <c r="E32" s="14" t="e">
        <f>_xlfn.IFS(CORET!$H$1=1,oildensstandard(INPUT!$B$16,C32,INPUT!$B$11,D32,G32,B32),CORET!$H$1=2,oildenshanafy(INPUT!$B$16,INPUT!$B$11,G32,TABEL!A32,INPUT!$B$18,TABEL!B32),CORET!$H$1=3,oildensstanding(INPUT!$B$16,INPUT!$E$20,INPUT!$B$11,TABEL!A32,INPUT!$B$18,TABEL!B32,G32),CORET!$H$1=4,oildensbalance(INPUT!$B$16,INPUT!$B$11,INPUT!$B$18,C32,G32,A32,INPUT!$B$7,D32,B32))</f>
        <v>#VALUE!</v>
      </c>
      <c r="F32" s="14" t="e">
        <f>_xlfn.IFS(CORET!$I$1=1,OilVisBeggs(INPUT!$B$16,INPUT!$B$7,INPUT!$E$20,INPUT!$E$18,INPUT!$E$19,TABEL!B32,TABEL!A32,INPUT!$B$18),CORET!$I$1=2,OilVisBeal(INPUT!$B$16,INPUT!$B$7,INPUT!$E$20,INPUT!$E$18,INPUT!$E$19,TABEL!B32,TABEL!A32,INPUT!$B$18),CORET!$I$1=3,OilVisEgbogah(INPUT!$E$20,TABEL!A32,INPUT!$B$16,INPUT!$B$7,INPUT!$E$18,INPUT!$E$19,TABEL!B32,INPUT!$B$18),CORET!$I$1=4,OilVisPetro(INPUT!$E$20,TABEL!A32,INPUT!$B$16,INPUT!$B$7,INPUT!$E$18,INPUT!$E$19,B32,INPUT!$B$18),CORET!$I$1=5,OilVisMarhoun(INPUT!$B$11,INPUT!$B$16,INPUT!$B$7,TABEL!A32,INPUT!$B$18,TABEL!B32),CORET!$I$1=6,OilVisAlmae(INPUT!$E$20,INPUT!$B$11,TABEL!A32,INPUT!$B$16,INPUT!$B$7,INPUT!$E$18,INPUT!$E$19,B32,INPUT!$B$18),CORET!$I$1=7,OilVisKhan(INPUT!$E$20,INPUT!$B$11,TABEL!A32,INPUT!$B$16,INPUT!$B$7,INPUT!$E$18,INPUT!$E$19,TABEL!B32,INPUT!$B$18),CORET!$I$1=8,OilVisHanafy(INPUT!$B$16,INPUT!$E$20,INPUT!$B$11,TABEL!A32,INPUT!$B$18,TABEL!B32,G32))</f>
        <v>#VALUE!</v>
      </c>
      <c r="G32" s="14" t="e">
        <f>_xlfn.IFS(CORET!$F$1=1,CoVaquezz(INPUT!$E$20,TABEL!A32,INPUT!$B$16,INPUT!$B$7,INPUT!$E$18,INPUT!$E$19,TABEL!B32,INPUT!$B$18,INPUT!$B$11),CORET!$F$1=2,CoPetrosky(INPUT!$B$11,TABEL!A32,INPUT!$B$16,INPUT!$B$7,TABEL!B32,INPUT!$B$18),CORET!$F$1=3,CoFarshad(INPUT!$E$20,INPUT!$B$11,TABEL!A32,INPUT!$B$16,INPUT!$B$7,INPUT!$E$18,INPUT!$E$19,TABEL!B32,INPUT!$B$18),CORET!$F$1=4,CoAlmehaideb(INPUT!$E$20,TABEL!A32,INPUT!$B$16,INPUT!$B$7,INPUT!$E$18,INPUT!$E$19,TABEL!B32,INPUT!$B$18),CORET!$F$1=5,CoSharkawy(INPUT!$E$20,TABEL!A32,INPUT!$B$16,INPUT!$B$7,INPUT!$E$18,INPUT!$E$19,TABEL!B32,INPUT!$B$18),CORET!$F$1=6,CoKarto(INPUT!$E$20,TABEL!A32,INPUT!$B$16,INPUT!$B$7,INPUT!$E$18,INPUT!$E$19,TABEL!B32,INPUT!$B$18),CORET!$F$1=7,CoAhmed(INPUT!$E$20,TABEL!A32,INPUT!$B$16,INPUT!$B$7,INPUT!$E$18,INPUT!$E$19,TABEL!B32,INPUT!$B$18),CORET!$F$1=8,CoDindoruk(INPUT!$E$20,INPUT!$B$11,TABEL!A32,INPUT!$B$16,INPUT!$B$7,INPUT!$E$18,INPUT!$E$19,B32,INPUT!$B$18),CORET!$F$1=9,CoMcCain(INPUT!$E$20,TABEL!A32,INPUT!$B$16,INPUT!$B$7,INPUT!$E$18,INPUT!$E$19,B32,INPUT!$B$18),CORET!$F$1=10,CoMarhoun(INPUT!$E$20,INPUT!$B$11,TABEL!A32,INPUT!$B$16,INPUT!$B$7,B32,INPUT!$B$18),CORET!$F$1=11,CoCalhoun(INPUT!$E$20,INPUT!$B$11,TABEL!A32,INPUT!$B$16,INPUT!$B$7,INPUT!$E$18,INPUT!$E$19,TABEL!B32,INPUT!$B$18),CORET!$F$1=12,CoLabedi(INPUT!$E$20,INPUT!$B$11,TABEL!A32,INPUT!$B$16,INPUT!$B$7,TABEL!B32,INPUT!$B$18),CORET!$F$1=13,CoDegetto(INPUT!$E$20,INPUT!$B$11,TABEL!A32,INPUT!$B$16,INPUT!$B$7,INPUT!$E$18,INPUT!$E$19,TABEL!B32,INPUT!$B$18))</f>
        <v>#VALUE!</v>
      </c>
      <c r="H32" s="14">
        <f>Bggeneral(INPUT!$B$10,TABEL!A32,INPUT!$B$8,INPUT!$B$7,I32)</f>
        <v>-3.1166723881117693E-2</v>
      </c>
      <c r="I32" s="14">
        <f>_xlfn.IFS(CORET!$E$1=1,ZAbouKassem(A32/OUTPUT!$B$17,(INPUT!$B$7+459.67)/(OUTPUT!$B$16+459.67),150,10^-12),CORET!$E$1=2,ZBeggsbrill(INPUT!$B$7+459.67,TABEL!A32,OUTPUT!$B$16+459.67,OUTPUT!$B$17),CORET!$E$1=3,hall(TABEL!A32,INPUT!$B$7+459.67,OUTPUT!$B$16+459.67,OUTPUT!$B$17),CORET!$E$1=4,zpapay(INPUT!$B$7+459.67,TABEL!A32,OUTPUT!$B$16+459.67,OUTPUT!$B$17))</f>
        <v>1.1775538159261245</v>
      </c>
      <c r="J32" s="14">
        <f>gasdensgeneral(A32,I32,INPUT!$B$7)</f>
        <v>-4.9256407415212768</v>
      </c>
      <c r="K32" s="14">
        <f>_xlfn.IFS(CORET!$J$1=1,ViscGas(TABEL!A32,INPUT!$B$7,INPUT!$B$11,TABEL!I32),CORET!$J$1=2,ViscCarr(TABEL!A32,INPUT!$B$7,INPUT!$B$11,OUTPUT!$B$17,OUTPUT!$B$16,INPUT!$E$15,INPUT!$E$14,INPUT!$E$13),CORET!$J$1=3,VisJossi(TABEL!A32,OUTPUT!$B$17,INPUT!$B$7,OUTPUT!$B$16,I32,INPUT!$B$11),CORET!$J$1=4,VisDean(TABEL!A32,OUTPUT!$B$17,INPUT!$B$7,OUTPUT!$B$16,I32,INPUT!$B$11),CORET!$J$1=5,VisLucas(TABEL!A32,OUTPUT!$B$17,INPUT!$B$7,OUTPUT!$B$16,INPUT!$B$11),CORET!$J$1=6,VisLondono(TABEL!A32,I32,INPUT!$B$7,INPUT!$B$11),CORET!$J$1=7,VisSutton(TABEL!A32,I32,INPUT!$B$7,OUTPUT!$B$16,INPUT!$B$11,OUTPUT!$B$17))</f>
        <v>6.0820481356459108E-3</v>
      </c>
      <c r="L32" s="14">
        <f>_xlfn.IFS(CORET!$K$1=1,CgHall(TABEL!A32,INPUT!$B$7,OUTPUT!$B$16,OUTPUT!$B$17,TABEL!I32),CORET!$K$1=2,CgDranchuk(TABEL!A32,INPUT!$B$7,OUTPUT!$B$16,OUTPUT!$B$17,TABEL!I32))</f>
        <v>-6.5428234144967751E-4</v>
      </c>
      <c r="M32" s="12">
        <f>_xlfn.IFS(CORET!$M$1=1,BWMeehan(TABEL!A32,INPUT!$B$7,CORET!$E$18,INPUT!$E$8),CORET!$M$1=2,BWMCain(TABEL!A32,INPUT!$B$7,TABEL!I32,B32,INPUT!$E$7,INPUT!$B$18,INPUT!$B$10,INPUT!$B$8))</f>
        <v>1.0187239371279535</v>
      </c>
      <c r="N32" s="14">
        <f>RswMcCain(TABEL!A32,INPUT!$B$7,INPUT!$E$7)</f>
        <v>-3.7597322388050936</v>
      </c>
      <c r="O32" s="14">
        <f>Density_Brine(TABEL!A32,INPUT!$B$7,INPUT!$B$18,B32,INPUT!$E$7,TABEL!Q32,INPUT!$E$8)</f>
        <v>61.221688945320693</v>
      </c>
      <c r="P32" s="14">
        <f>_xlfn.IFS(CORET!$L$1=1,ViscBrine(TABEL!A32,INPUT!$B$7,INPUT!$E$7),CORET!$L$1=2,ViscMeehan(TABEL!A32,INPUT!$B$7,INPUT!$E$8),CORET!$L$1=3,ViscKestin(TABEL!A32,INPUT!$B$7,INPUT!$E$7))</f>
        <v>0.48114331584989517</v>
      </c>
      <c r="Q32" s="77">
        <f>_xlfn.IFS(CORET!$N$1=1,CWaterMeehan(TABEL!A32,INPUT!$B$7,CORET!E43,INPUT!$E$8,N32),CORET!$N$1=2,CWater(TABEL!A32,INPUT!$B$7,I32,B32,INPUT!$E$7,INPUT!$B$18,INPUT!$B$10,INPUT!$B$8))</f>
        <v>3.2256807822778882E-5</v>
      </c>
    </row>
    <row r="33" spans="1:17" ht="15.75" thickBot="1">
      <c r="A33" s="13">
        <f>A32-(($A$7-INPUT!$B$10)/36)</f>
        <v>-1418.7277777777781</v>
      </c>
      <c r="B33" s="17" t="str">
        <f>IF(A33&gt;=INPUT!$B$18,"Unsaturated","Saturated")</f>
        <v>Saturated</v>
      </c>
      <c r="C33" s="14" t="e">
        <f>_xlfn.IFS(CORET!$A$1=1,RSGLASO(INPUT!$B$16,INPUT!$B$11,INPUT!$B$7,B33,TABEL!A33,INPUT!$B$18),CORET!$A$1=2,RSSTANDING(A33,INPUT!$B$16,INPUT!$B$7,INPUT!$B$11,B33,INPUT!$B$18),CORET!$A$1=3,RSVASCUESS(INPUT!$E$20,A33,INPUT!$B$16,INPUT!$B$7,INPUT!$E$18,INPUT!$E$19,B33,INPUT!$B$18),CORET!$A$1=4,RSLASATER(A33,INPUT!$B$16,INPUT!$B$7,INPUT!$B$11,INPUT!$B$18,B33),CORET!$A$1=5,RSFARSHAD(TABEL!A33,INPUT!$B$18,INPUT!$B$16,INPUT!$B$7,INPUT!$B$11,B33),CORET!$A$1=6,RSKARTO(INPUT!$E$18,INPUT!$E$19,INPUT!$B$16,INPUT!$E$20,A33,INPUT!$B$18,INPUT!$B$7,B33),CORET!$A$1=7,RSMARHOUN(INPUT!$B$11,INPUT!$B$16,INPUT!$B$7,A33,INPUT!$B$18,B33),CORET!$A$1=8,RSHANAFY(A33,INPUT!$B$18,B33),CORET!$A$1=9,RSVELARDE(A33,INPUT!$B$18,INPUT!$B$11,INPUT!$B$16,INPUT!$B$7,B33),CORET!$A$1=10,RSFARSHAD(TABEL!A33,INPUT!$B$18,INPUT!$B$16,INPUT!$B$7,INPUT!$B$11,TABEL!B33))</f>
        <v>#VALUE!</v>
      </c>
      <c r="D33" s="14" t="e">
        <f>_xlfn.IFS(CORET!$G$1=1,standingBO(INPUT!$B$7,INPUT!$B$11,INPUT!$B$16,G33,B33,TABEL!A33,INPUT!$B$18),CORET!$G$1=2,VasquezzBO(INPUT!$B$7,INPUT!$E$20,INPUT!$B$11,INPUT!$B$16,TABEL!G33,TABEL!B33,TABEL!A33,INPUT!$B$18,INPUT!$E$19,INPUT!$E$18),CORET!$G$1=3,GlasoBo(INPUT!$B$11,INPUT!$B$16,INPUT!$B$7,TABEL!A33,B33,INPUT!$B$18,G33),CORET!$G$1=4,FarshadBo(INPUT!$B$11,INPUT!$B$16,INPUT!$B$7,TABEL!A33,INPUT!$B$18,TABEL!G33,TABEL!B33),CORET!$G$1=5,LeblancBo(G33,TABEL!A33,INPUT!$B$18,INPUT!$B$16,INPUT!$B$7,INPUT!$B$11,TABEL!B33),CORET!$G$1=6,MarhounBo(G33,INPUT!$B$11,INPUT!$B$16,INPUT!$B$7,TABEL!A33,INPUT!$B$18,TABEL!B33),CORET!$G$1=7,KartoBo(G33,INPUT!$E$18,INPUT!$E$19,INPUT!$B$16,INPUT!$E$20,TABEL!A33,INPUT!$B$18,INPUT!$B$7,TABEL!B33),CORET!$G$1=8,AlmaedhaidebBo(G33,INPUT!$E$20,TABEL!A33,INPUT!$B$16,INPUT!$B$7,INPUT!$E$18,INPUT!$E$19,TABEL!B33,INPUT!$B$18),CORET!$G$1=9,AlshammasiBo(G33,INPUT!$B$11,INPUT!$E$20,TABEL!A33,INPUT!$B$16,INPUT!$B$7,INPUT!$E$18,INPUT!$E$19,TABEL!B33,INPUT!$B$18),CORET!$G$1=10,SharkawyBo(G33,INPUT!$B$11,INPUT!$E$20,TABEL!A33,INPUT!$B$16,INPUT!$B$7,INPUT!$E$18,INPUT!$E$19,TABEL!B33,INPUT!$B$18),CORET!$G$1=11,OsmanBo(G33,INPUT!$B$11,INPUT!$E$20,TABEL!A33,INPUT!$B$16,INPUT!$B$7,INPUT!$E$18,INPUT!$E$19,TABEL!B33,INPUT!$B$18),CORET!$G$1=12,HanafyBo(G33,TABEL!A33,INPUT!$B$18,B33))</f>
        <v>#VALUE!</v>
      </c>
      <c r="E33" s="14" t="e">
        <f>_xlfn.IFS(CORET!$H$1=1,oildensstandard(INPUT!$B$16,C33,INPUT!$B$11,D33,G33,B33),CORET!$H$1=2,oildenshanafy(INPUT!$B$16,INPUT!$B$11,G33,TABEL!A33,INPUT!$B$18,TABEL!B33),CORET!$H$1=3,oildensstanding(INPUT!$B$16,INPUT!$E$20,INPUT!$B$11,TABEL!A33,INPUT!$B$18,TABEL!B33,G33),CORET!$H$1=4,oildensbalance(INPUT!$B$16,INPUT!$B$11,INPUT!$B$18,C33,G33,A33,INPUT!$B$7,D33,B33))</f>
        <v>#VALUE!</v>
      </c>
      <c r="F33" s="14" t="e">
        <f>_xlfn.IFS(CORET!$I$1=1,OilVisBeggs(INPUT!$B$16,INPUT!$B$7,INPUT!$E$20,INPUT!$E$18,INPUT!$E$19,TABEL!B33,TABEL!A33,INPUT!$B$18),CORET!$I$1=2,OilVisBeal(INPUT!$B$16,INPUT!$B$7,INPUT!$E$20,INPUT!$E$18,INPUT!$E$19,TABEL!B33,TABEL!A33,INPUT!$B$18),CORET!$I$1=3,OilVisEgbogah(INPUT!$E$20,TABEL!A33,INPUT!$B$16,INPUT!$B$7,INPUT!$E$18,INPUT!$E$19,TABEL!B33,INPUT!$B$18),CORET!$I$1=4,OilVisPetro(INPUT!$E$20,TABEL!A33,INPUT!$B$16,INPUT!$B$7,INPUT!$E$18,INPUT!$E$19,B33,INPUT!$B$18),CORET!$I$1=5,OilVisMarhoun(INPUT!$B$11,INPUT!$B$16,INPUT!$B$7,TABEL!A33,INPUT!$B$18,TABEL!B33),CORET!$I$1=6,OilVisAlmae(INPUT!$E$20,INPUT!$B$11,TABEL!A33,INPUT!$B$16,INPUT!$B$7,INPUT!$E$18,INPUT!$E$19,B33,INPUT!$B$18),CORET!$I$1=7,OilVisKhan(INPUT!$E$20,INPUT!$B$11,TABEL!A33,INPUT!$B$16,INPUT!$B$7,INPUT!$E$18,INPUT!$E$19,TABEL!B33,INPUT!$B$18),CORET!$I$1=8,OilVisHanafy(INPUT!$B$16,INPUT!$E$20,INPUT!$B$11,TABEL!A33,INPUT!$B$18,TABEL!B33,G33))</f>
        <v>#VALUE!</v>
      </c>
      <c r="G33" s="14" t="e">
        <f>_xlfn.IFS(CORET!$F$1=1,CoVaquezz(INPUT!$E$20,TABEL!A33,INPUT!$B$16,INPUT!$B$7,INPUT!$E$18,INPUT!$E$19,TABEL!B33,INPUT!$B$18,INPUT!$B$11),CORET!$F$1=2,CoPetrosky(INPUT!$B$11,TABEL!A33,INPUT!$B$16,INPUT!$B$7,TABEL!B33,INPUT!$B$18),CORET!$F$1=3,CoFarshad(INPUT!$E$20,INPUT!$B$11,TABEL!A33,INPUT!$B$16,INPUT!$B$7,INPUT!$E$18,INPUT!$E$19,TABEL!B33,INPUT!$B$18),CORET!$F$1=4,CoAlmehaideb(INPUT!$E$20,TABEL!A33,INPUT!$B$16,INPUT!$B$7,INPUT!$E$18,INPUT!$E$19,TABEL!B33,INPUT!$B$18),CORET!$F$1=5,CoSharkawy(INPUT!$E$20,TABEL!A33,INPUT!$B$16,INPUT!$B$7,INPUT!$E$18,INPUT!$E$19,TABEL!B33,INPUT!$B$18),CORET!$F$1=6,CoKarto(INPUT!$E$20,TABEL!A33,INPUT!$B$16,INPUT!$B$7,INPUT!$E$18,INPUT!$E$19,TABEL!B33,INPUT!$B$18),CORET!$F$1=7,CoAhmed(INPUT!$E$20,TABEL!A33,INPUT!$B$16,INPUT!$B$7,INPUT!$E$18,INPUT!$E$19,TABEL!B33,INPUT!$B$18),CORET!$F$1=8,CoDindoruk(INPUT!$E$20,INPUT!$B$11,TABEL!A33,INPUT!$B$16,INPUT!$B$7,INPUT!$E$18,INPUT!$E$19,B33,INPUT!$B$18),CORET!$F$1=9,CoMcCain(INPUT!$E$20,TABEL!A33,INPUT!$B$16,INPUT!$B$7,INPUT!$E$18,INPUT!$E$19,B33,INPUT!$B$18),CORET!$F$1=10,CoMarhoun(INPUT!$E$20,INPUT!$B$11,TABEL!A33,INPUT!$B$16,INPUT!$B$7,B33,INPUT!$B$18),CORET!$F$1=11,CoCalhoun(INPUT!$E$20,INPUT!$B$11,TABEL!A33,INPUT!$B$16,INPUT!$B$7,INPUT!$E$18,INPUT!$E$19,TABEL!B33,INPUT!$B$18),CORET!$F$1=12,CoLabedi(INPUT!$E$20,INPUT!$B$11,TABEL!A33,INPUT!$B$16,INPUT!$B$7,TABEL!B33,INPUT!$B$18),CORET!$F$1=13,CoDegetto(INPUT!$E$20,INPUT!$B$11,TABEL!A33,INPUT!$B$16,INPUT!$B$7,INPUT!$E$18,INPUT!$E$19,TABEL!B33,INPUT!$B$18))</f>
        <v>#VALUE!</v>
      </c>
      <c r="H33" s="14">
        <f>Bggeneral(INPUT!$B$10,TABEL!A33,INPUT!$B$8,INPUT!$B$7,I33)</f>
        <v>-2.8571340211149307E-2</v>
      </c>
      <c r="I33" s="14">
        <f>_xlfn.IFS(CORET!$E$1=1,ZAbouKassem(A33/OUTPUT!$B$17,(INPUT!$B$7+459.67)/(OUTPUT!$B$16+459.67),150,10^-12),CORET!$E$1=2,ZBeggsbrill(INPUT!$B$7+459.67,TABEL!A33,OUTPUT!$B$16+459.67,OUTPUT!$B$17),CORET!$E$1=3,hall(TABEL!A33,INPUT!$B$7+459.67,OUTPUT!$B$16+459.67,OUTPUT!$B$17),CORET!$E$1=4,zpapay(INPUT!$B$7+459.67,TABEL!A33,OUTPUT!$B$16+459.67,OUTPUT!$B$17))</f>
        <v>1.1962596470327669</v>
      </c>
      <c r="J33" s="14">
        <f>gasdensgeneral(A33,I33,INPUT!$B$7)</f>
        <v>-5.3730795893386656</v>
      </c>
      <c r="K33" s="14">
        <f>_xlfn.IFS(CORET!$J$1=1,ViscGas(TABEL!A33,INPUT!$B$7,INPUT!$B$11,TABEL!I33),CORET!$J$1=2,ViscCarr(TABEL!A33,INPUT!$B$7,INPUT!$B$11,OUTPUT!$B$17,OUTPUT!$B$16,INPUT!$E$15,INPUT!$E$14,INPUT!$E$13),CORET!$J$1=3,VisJossi(TABEL!A33,OUTPUT!$B$17,INPUT!$B$7,OUTPUT!$B$16,I33,INPUT!$B$11),CORET!$J$1=4,VisDean(TABEL!A33,OUTPUT!$B$17,INPUT!$B$7,OUTPUT!$B$16,I33,INPUT!$B$11),CORET!$J$1=5,VisLucas(TABEL!A33,OUTPUT!$B$17,INPUT!$B$7,OUTPUT!$B$16,INPUT!$B$11),CORET!$J$1=6,VisLondono(TABEL!A33,I33,INPUT!$B$7,INPUT!$B$11),CORET!$J$1=7,VisSutton(TABEL!A33,I33,INPUT!$B$7,OUTPUT!$B$16,INPUT!$B$11,OUTPUT!$B$17))</f>
        <v>5.7535212820345556E-3</v>
      </c>
      <c r="L33" s="14">
        <f>_xlfn.IFS(CORET!$K$1=1,CgHall(TABEL!A33,INPUT!$B$7,OUTPUT!$B$16,OUTPUT!$B$17,TABEL!I33),CORET!$K$1=2,CgDranchuk(TABEL!A33,INPUT!$B$7,OUTPUT!$B$16,OUTPUT!$B$17,TABEL!I33))</f>
        <v>-5.8045062398485558E-4</v>
      </c>
      <c r="M33" s="12">
        <f>_xlfn.IFS(CORET!$M$1=1,BWMeehan(TABEL!A33,INPUT!$B$7,CORET!$E$18,INPUT!$E$8),CORET!$M$1=2,BWMCain(TABEL!A33,INPUT!$B$7,TABEL!I33,B33,INPUT!$E$7,INPUT!$B$18,INPUT!$B$10,INPUT!$B$8))</f>
        <v>1.0187172953224011</v>
      </c>
      <c r="N33" s="14">
        <f>RswMcCain(TABEL!A33,INPUT!$B$7,INPUT!$E$7)</f>
        <v>-4.5124042696866722</v>
      </c>
      <c r="O33" s="14">
        <f>Density_Brine(TABEL!A33,INPUT!$B$7,INPUT!$B$18,B33,INPUT!$E$7,TABEL!Q33,INPUT!$E$8)</f>
        <v>61.222088096837439</v>
      </c>
      <c r="P33" s="14">
        <f>_xlfn.IFS(CORET!$L$1=1,ViscBrine(TABEL!A33,INPUT!$B$7,INPUT!$E$7),CORET!$L$1=2,ViscMeehan(TABEL!A33,INPUT!$B$7,INPUT!$E$8),CORET!$L$1=3,ViscKestin(TABEL!A33,INPUT!$B$7,INPUT!$E$7))</f>
        <v>0.4809414050032072</v>
      </c>
      <c r="Q33" s="77">
        <f>_xlfn.IFS(CORET!$N$1=1,CWaterMeehan(TABEL!A33,INPUT!$B$7,CORET!E44,INPUT!$E$8,N33),CORET!$N$1=2,CWater(TABEL!A33,INPUT!$B$7,I33,B33,INPUT!$E$7,INPUT!$B$18,INPUT!$B$10,INPUT!$B$8))</f>
        <v>3.2371387032147364E-5</v>
      </c>
    </row>
    <row r="34" spans="1:17" ht="15.75" thickBot="1">
      <c r="A34" s="13">
        <f>A33-(($A$7-INPUT!$B$10)/36)</f>
        <v>-1557.2083333333337</v>
      </c>
      <c r="B34" s="17" t="str">
        <f>IF(A34&gt;=INPUT!$B$18,"Unsaturated","Saturated")</f>
        <v>Saturated</v>
      </c>
      <c r="C34" s="14" t="e">
        <f>_xlfn.IFS(CORET!$A$1=1,RSGLASO(INPUT!$B$16,INPUT!$B$11,INPUT!$B$7,B34,TABEL!A34,INPUT!$B$18),CORET!$A$1=2,RSSTANDING(A34,INPUT!$B$16,INPUT!$B$7,INPUT!$B$11,B34,INPUT!$B$18),CORET!$A$1=3,RSVASCUESS(INPUT!$E$20,A34,INPUT!$B$16,INPUT!$B$7,INPUT!$E$18,INPUT!$E$19,B34,INPUT!$B$18),CORET!$A$1=4,RSLASATER(A34,INPUT!$B$16,INPUT!$B$7,INPUT!$B$11,INPUT!$B$18,B34),CORET!$A$1=5,RSFARSHAD(TABEL!A34,INPUT!$B$18,INPUT!$B$16,INPUT!$B$7,INPUT!$B$11,B34),CORET!$A$1=6,RSKARTO(INPUT!$E$18,INPUT!$E$19,INPUT!$B$16,INPUT!$E$20,A34,INPUT!$B$18,INPUT!$B$7,B34),CORET!$A$1=7,RSMARHOUN(INPUT!$B$11,INPUT!$B$16,INPUT!$B$7,A34,INPUT!$B$18,B34),CORET!$A$1=8,RSHANAFY(A34,INPUT!$B$18,B34),CORET!$A$1=9,RSVELARDE(A34,INPUT!$B$18,INPUT!$B$11,INPUT!$B$16,INPUT!$B$7,B34),CORET!$A$1=10,RSFARSHAD(TABEL!A34,INPUT!$B$18,INPUT!$B$16,INPUT!$B$7,INPUT!$B$11,TABEL!B34))</f>
        <v>#VALUE!</v>
      </c>
      <c r="D34" s="14" t="e">
        <f>_xlfn.IFS(CORET!$G$1=1,standingBO(INPUT!$B$7,INPUT!$B$11,INPUT!$B$16,G34,B34,TABEL!A34,INPUT!$B$18),CORET!$G$1=2,VasquezzBO(INPUT!$B$7,INPUT!$E$20,INPUT!$B$11,INPUT!$B$16,TABEL!G34,TABEL!B34,TABEL!A34,INPUT!$B$18,INPUT!$E$19,INPUT!$E$18),CORET!$G$1=3,GlasoBo(INPUT!$B$11,INPUT!$B$16,INPUT!$B$7,TABEL!A34,B34,INPUT!$B$18,G34),CORET!$G$1=4,FarshadBo(INPUT!$B$11,INPUT!$B$16,INPUT!$B$7,TABEL!A34,INPUT!$B$18,TABEL!G34,TABEL!B34),CORET!$G$1=5,LeblancBo(G34,TABEL!A34,INPUT!$B$18,INPUT!$B$16,INPUT!$B$7,INPUT!$B$11,TABEL!B34),CORET!$G$1=6,MarhounBo(G34,INPUT!$B$11,INPUT!$B$16,INPUT!$B$7,TABEL!A34,INPUT!$B$18,TABEL!B34),CORET!$G$1=7,KartoBo(G34,INPUT!$E$18,INPUT!$E$19,INPUT!$B$16,INPUT!$E$20,TABEL!A34,INPUT!$B$18,INPUT!$B$7,TABEL!B34),CORET!$G$1=8,AlmaedhaidebBo(G34,INPUT!$E$20,TABEL!A34,INPUT!$B$16,INPUT!$B$7,INPUT!$E$18,INPUT!$E$19,TABEL!B34,INPUT!$B$18),CORET!$G$1=9,AlshammasiBo(G34,INPUT!$B$11,INPUT!$E$20,TABEL!A34,INPUT!$B$16,INPUT!$B$7,INPUT!$E$18,INPUT!$E$19,TABEL!B34,INPUT!$B$18),CORET!$G$1=10,SharkawyBo(G34,INPUT!$B$11,INPUT!$E$20,TABEL!A34,INPUT!$B$16,INPUT!$B$7,INPUT!$E$18,INPUT!$E$19,TABEL!B34,INPUT!$B$18),CORET!$G$1=11,OsmanBo(G34,INPUT!$B$11,INPUT!$E$20,TABEL!A34,INPUT!$B$16,INPUT!$B$7,INPUT!$E$18,INPUT!$E$19,TABEL!B34,INPUT!$B$18),CORET!$G$1=12,HanafyBo(G34,TABEL!A34,INPUT!$B$18,B34))</f>
        <v>#VALUE!</v>
      </c>
      <c r="E34" s="14" t="e">
        <f>_xlfn.IFS(CORET!$H$1=1,oildensstandard(INPUT!$B$16,C34,INPUT!$B$11,D34,G34,B34),CORET!$H$1=2,oildenshanafy(INPUT!$B$16,INPUT!$B$11,G34,TABEL!A34,INPUT!$B$18,TABEL!B34),CORET!$H$1=3,oildensstanding(INPUT!$B$16,INPUT!$E$20,INPUT!$B$11,TABEL!A34,INPUT!$B$18,TABEL!B34,G34),CORET!$H$1=4,oildensbalance(INPUT!$B$16,INPUT!$B$11,INPUT!$B$18,C34,G34,A34,INPUT!$B$7,D34,B34))</f>
        <v>#VALUE!</v>
      </c>
      <c r="F34" s="14" t="e">
        <f>_xlfn.IFS(CORET!$I$1=1,OilVisBeggs(INPUT!$B$16,INPUT!$B$7,INPUT!$E$20,INPUT!$E$18,INPUT!$E$19,TABEL!B34,TABEL!A34,INPUT!$B$18),CORET!$I$1=2,OilVisBeal(INPUT!$B$16,INPUT!$B$7,INPUT!$E$20,INPUT!$E$18,INPUT!$E$19,TABEL!B34,TABEL!A34,INPUT!$B$18),CORET!$I$1=3,OilVisEgbogah(INPUT!$E$20,TABEL!A34,INPUT!$B$16,INPUT!$B$7,INPUT!$E$18,INPUT!$E$19,TABEL!B34,INPUT!$B$18),CORET!$I$1=4,OilVisPetro(INPUT!$E$20,TABEL!A34,INPUT!$B$16,INPUT!$B$7,INPUT!$E$18,INPUT!$E$19,B34,INPUT!$B$18),CORET!$I$1=5,OilVisMarhoun(INPUT!$B$11,INPUT!$B$16,INPUT!$B$7,TABEL!A34,INPUT!$B$18,TABEL!B34),CORET!$I$1=6,OilVisAlmae(INPUT!$E$20,INPUT!$B$11,TABEL!A34,INPUT!$B$16,INPUT!$B$7,INPUT!$E$18,INPUT!$E$19,B34,INPUT!$B$18),CORET!$I$1=7,OilVisKhan(INPUT!$E$20,INPUT!$B$11,TABEL!A34,INPUT!$B$16,INPUT!$B$7,INPUT!$E$18,INPUT!$E$19,TABEL!B34,INPUT!$B$18),CORET!$I$1=8,OilVisHanafy(INPUT!$B$16,INPUT!$E$20,INPUT!$B$11,TABEL!A34,INPUT!$B$18,TABEL!B34,G34))</f>
        <v>#VALUE!</v>
      </c>
      <c r="G34" s="14" t="e">
        <f>_xlfn.IFS(CORET!$F$1=1,CoVaquezz(INPUT!$E$20,TABEL!A34,INPUT!$B$16,INPUT!$B$7,INPUT!$E$18,INPUT!$E$19,TABEL!B34,INPUT!$B$18,INPUT!$B$11),CORET!$F$1=2,CoPetrosky(INPUT!$B$11,TABEL!A34,INPUT!$B$16,INPUT!$B$7,TABEL!B34,INPUT!$B$18),CORET!$F$1=3,CoFarshad(INPUT!$E$20,INPUT!$B$11,TABEL!A34,INPUT!$B$16,INPUT!$B$7,INPUT!$E$18,INPUT!$E$19,TABEL!B34,INPUT!$B$18),CORET!$F$1=4,CoAlmehaideb(INPUT!$E$20,TABEL!A34,INPUT!$B$16,INPUT!$B$7,INPUT!$E$18,INPUT!$E$19,TABEL!B34,INPUT!$B$18),CORET!$F$1=5,CoSharkawy(INPUT!$E$20,TABEL!A34,INPUT!$B$16,INPUT!$B$7,INPUT!$E$18,INPUT!$E$19,TABEL!B34,INPUT!$B$18),CORET!$F$1=6,CoKarto(INPUT!$E$20,TABEL!A34,INPUT!$B$16,INPUT!$B$7,INPUT!$E$18,INPUT!$E$19,TABEL!B34,INPUT!$B$18),CORET!$F$1=7,CoAhmed(INPUT!$E$20,TABEL!A34,INPUT!$B$16,INPUT!$B$7,INPUT!$E$18,INPUT!$E$19,TABEL!B34,INPUT!$B$18),CORET!$F$1=8,CoDindoruk(INPUT!$E$20,INPUT!$B$11,TABEL!A34,INPUT!$B$16,INPUT!$B$7,INPUT!$E$18,INPUT!$E$19,B34,INPUT!$B$18),CORET!$F$1=9,CoMcCain(INPUT!$E$20,TABEL!A34,INPUT!$B$16,INPUT!$B$7,INPUT!$E$18,INPUT!$E$19,B34,INPUT!$B$18),CORET!$F$1=10,CoMarhoun(INPUT!$E$20,INPUT!$B$11,TABEL!A34,INPUT!$B$16,INPUT!$B$7,B34,INPUT!$B$18),CORET!$F$1=11,CoCalhoun(INPUT!$E$20,INPUT!$B$11,TABEL!A34,INPUT!$B$16,INPUT!$B$7,INPUT!$E$18,INPUT!$E$19,TABEL!B34,INPUT!$B$18),CORET!$F$1=12,CoLabedi(INPUT!$E$20,INPUT!$B$11,TABEL!A34,INPUT!$B$16,INPUT!$B$7,TABEL!B34,INPUT!$B$18),CORET!$F$1=13,CoDegetto(INPUT!$E$20,INPUT!$B$11,TABEL!A34,INPUT!$B$16,INPUT!$B$7,INPUT!$E$18,INPUT!$E$19,TABEL!B34,INPUT!$B$18))</f>
        <v>#VALUE!</v>
      </c>
      <c r="H34" s="14">
        <f>Bggeneral(INPUT!$B$10,TABEL!A34,INPUT!$B$8,INPUT!$B$7,I34)</f>
        <v>-2.6434252475551964E-2</v>
      </c>
      <c r="I34" s="14">
        <f>_xlfn.IFS(CORET!$E$1=1,ZAbouKassem(A34/OUTPUT!$B$17,(INPUT!$B$7+459.67)/(OUTPUT!$B$16+459.67),150,10^-12),CORET!$E$1=2,ZBeggsbrill(INPUT!$B$7+459.67,TABEL!A34,OUTPUT!$B$16+459.67,OUTPUT!$B$17),CORET!$E$1=3,hall(TABEL!A34,INPUT!$B$7+459.67,OUTPUT!$B$16+459.67,OUTPUT!$B$17),CORET!$E$1=4,zpapay(INPUT!$B$7+459.67,TABEL!A34,OUTPUT!$B$16+459.67,OUTPUT!$B$17))</f>
        <v>1.2148132533921783</v>
      </c>
      <c r="J34" s="14">
        <f>gasdensgeneral(A34,I34,INPUT!$B$7)</f>
        <v>-5.807468362139562</v>
      </c>
      <c r="K34" s="14">
        <f>_xlfn.IFS(CORET!$J$1=1,ViscGas(TABEL!A34,INPUT!$B$7,INPUT!$B$11,TABEL!I34),CORET!$J$1=2,ViscCarr(TABEL!A34,INPUT!$B$7,INPUT!$B$11,OUTPUT!$B$17,OUTPUT!$B$16,INPUT!$E$15,INPUT!$E$14,INPUT!$E$13),CORET!$J$1=3,VisJossi(TABEL!A34,OUTPUT!$B$17,INPUT!$B$7,OUTPUT!$B$16,I34,INPUT!$B$11),CORET!$J$1=4,VisDean(TABEL!A34,OUTPUT!$B$17,INPUT!$B$7,OUTPUT!$B$16,I34,INPUT!$B$11),CORET!$J$1=5,VisLucas(TABEL!A34,OUTPUT!$B$17,INPUT!$B$7,OUTPUT!$B$16,INPUT!$B$11),CORET!$J$1=6,VisLondono(TABEL!A34,I34,INPUT!$B$7,INPUT!$B$11),CORET!$J$1=7,VisSutton(TABEL!A34,I34,INPUT!$B$7,OUTPUT!$B$16,INPUT!$B$11,OUTPUT!$B$17))</f>
        <v>5.4368398305819415E-3</v>
      </c>
      <c r="L34" s="14">
        <f>_xlfn.IFS(CORET!$K$1=1,CgHall(TABEL!A34,INPUT!$B$7,OUTPUT!$B$16,OUTPUT!$B$17,TABEL!I34),CORET!$K$1=2,CgDranchuk(TABEL!A34,INPUT!$B$7,OUTPUT!$B$16,OUTPUT!$B$17,TABEL!I34))</f>
        <v>-5.2021194795362664E-4</v>
      </c>
      <c r="M34" s="12">
        <f>_xlfn.IFS(CORET!$M$1=1,BWMeehan(TABEL!A34,INPUT!$B$7,CORET!$E$18,INPUT!$E$8),CORET!$M$1=2,BWMCain(TABEL!A34,INPUT!$B$7,TABEL!I34,B34,INPUT!$E$7,INPUT!$B$18,INPUT!$B$10,INPUT!$B$8))</f>
        <v>1.0187009344307165</v>
      </c>
      <c r="N34" s="14">
        <f>RswMcCain(TABEL!A34,INPUT!$B$7,INPUT!$E$7)</f>
        <v>-5.2728217605332794</v>
      </c>
      <c r="O34" s="14">
        <f>Density_Brine(TABEL!A34,INPUT!$B$7,INPUT!$B$18,B34,INPUT!$E$7,TABEL!Q34,INPUT!$E$8)</f>
        <v>61.223071356907397</v>
      </c>
      <c r="P34" s="14">
        <f>_xlfn.IFS(CORET!$L$1=1,ViscBrine(TABEL!A34,INPUT!$B$7,INPUT!$E$7),CORET!$L$1=2,ViscMeehan(TABEL!A34,INPUT!$B$7,INPUT!$E$8),CORET!$L$1=3,ViscKestin(TABEL!A34,INPUT!$B$7,INPUT!$E$7))</f>
        <v>0.48073949415651923</v>
      </c>
      <c r="Q34" s="77">
        <f>_xlfn.IFS(CORET!$N$1=1,CWaterMeehan(TABEL!A34,INPUT!$B$7,CORET!E45,INPUT!$E$8,N34),CORET!$N$1=2,CWater(TABEL!A34,INPUT!$B$7,I34,B34,INPUT!$E$7,INPUT!$B$18,INPUT!$B$10,INPUT!$B$8))</f>
        <v>3.2485923008477007E-5</v>
      </c>
    </row>
    <row r="35" spans="1:17" ht="15.75" thickBot="1">
      <c r="A35" s="13">
        <f>A34-(($A$7-INPUT!$B$10)/36)</f>
        <v>-1695.6888888888893</v>
      </c>
      <c r="B35" s="17" t="str">
        <f>IF(A35&gt;=INPUT!$B$18,"Unsaturated","Saturated")</f>
        <v>Saturated</v>
      </c>
      <c r="C35" s="14" t="e">
        <f>_xlfn.IFS(CORET!$A$1=1,RSGLASO(INPUT!$B$16,INPUT!$B$11,INPUT!$B$7,B35,TABEL!A35,INPUT!$B$18),CORET!$A$1=2,RSSTANDING(A35,INPUT!$B$16,INPUT!$B$7,INPUT!$B$11,B35,INPUT!$B$18),CORET!$A$1=3,RSVASCUESS(INPUT!$E$20,A35,INPUT!$B$16,INPUT!$B$7,INPUT!$E$18,INPUT!$E$19,B35,INPUT!$B$18),CORET!$A$1=4,RSLASATER(A35,INPUT!$B$16,INPUT!$B$7,INPUT!$B$11,INPUT!$B$18,B35),CORET!$A$1=5,RSFARSHAD(TABEL!A35,INPUT!$B$18,INPUT!$B$16,INPUT!$B$7,INPUT!$B$11,B35),CORET!$A$1=6,RSKARTO(INPUT!$E$18,INPUT!$E$19,INPUT!$B$16,INPUT!$E$20,A35,INPUT!$B$18,INPUT!$B$7,B35),CORET!$A$1=7,RSMARHOUN(INPUT!$B$11,INPUT!$B$16,INPUT!$B$7,A35,INPUT!$B$18,B35),CORET!$A$1=8,RSHANAFY(A35,INPUT!$B$18,B35),CORET!$A$1=9,RSVELARDE(A35,INPUT!$B$18,INPUT!$B$11,INPUT!$B$16,INPUT!$B$7,B35),CORET!$A$1=10,RSFARSHAD(TABEL!A35,INPUT!$B$18,INPUT!$B$16,INPUT!$B$7,INPUT!$B$11,TABEL!B35))</f>
        <v>#VALUE!</v>
      </c>
      <c r="D35" s="14" t="e">
        <f>_xlfn.IFS(CORET!$G$1=1,standingBO(INPUT!$B$7,INPUT!$B$11,INPUT!$B$16,G35,B35,TABEL!A35,INPUT!$B$18),CORET!$G$1=2,VasquezzBO(INPUT!$B$7,INPUT!$E$20,INPUT!$B$11,INPUT!$B$16,TABEL!G35,TABEL!B35,TABEL!A35,INPUT!$B$18,INPUT!$E$19,INPUT!$E$18),CORET!$G$1=3,GlasoBo(INPUT!$B$11,INPUT!$B$16,INPUT!$B$7,TABEL!A35,B35,INPUT!$B$18,G35),CORET!$G$1=4,FarshadBo(INPUT!$B$11,INPUT!$B$16,INPUT!$B$7,TABEL!A35,INPUT!$B$18,TABEL!G35,TABEL!B35),CORET!$G$1=5,LeblancBo(G35,TABEL!A35,INPUT!$B$18,INPUT!$B$16,INPUT!$B$7,INPUT!$B$11,TABEL!B35),CORET!$G$1=6,MarhounBo(G35,INPUT!$B$11,INPUT!$B$16,INPUT!$B$7,TABEL!A35,INPUT!$B$18,TABEL!B35),CORET!$G$1=7,KartoBo(G35,INPUT!$E$18,INPUT!$E$19,INPUT!$B$16,INPUT!$E$20,TABEL!A35,INPUT!$B$18,INPUT!$B$7,TABEL!B35),CORET!$G$1=8,AlmaedhaidebBo(G35,INPUT!$E$20,TABEL!A35,INPUT!$B$16,INPUT!$B$7,INPUT!$E$18,INPUT!$E$19,TABEL!B35,INPUT!$B$18),CORET!$G$1=9,AlshammasiBo(G35,INPUT!$B$11,INPUT!$E$20,TABEL!A35,INPUT!$B$16,INPUT!$B$7,INPUT!$E$18,INPUT!$E$19,TABEL!B35,INPUT!$B$18),CORET!$G$1=10,SharkawyBo(G35,INPUT!$B$11,INPUT!$E$20,TABEL!A35,INPUT!$B$16,INPUT!$B$7,INPUT!$E$18,INPUT!$E$19,TABEL!B35,INPUT!$B$18),CORET!$G$1=11,OsmanBo(G35,INPUT!$B$11,INPUT!$E$20,TABEL!A35,INPUT!$B$16,INPUT!$B$7,INPUT!$E$18,INPUT!$E$19,TABEL!B35,INPUT!$B$18),CORET!$G$1=12,HanafyBo(G35,TABEL!A35,INPUT!$B$18,B35))</f>
        <v>#VALUE!</v>
      </c>
      <c r="E35" s="14" t="e">
        <f>_xlfn.IFS(CORET!$H$1=1,oildensstandard(INPUT!$B$16,C35,INPUT!$B$11,D35,G35,B35),CORET!$H$1=2,oildenshanafy(INPUT!$B$16,INPUT!$B$11,G35,TABEL!A35,INPUT!$B$18,TABEL!B35),CORET!$H$1=3,oildensstanding(INPUT!$B$16,INPUT!$E$20,INPUT!$B$11,TABEL!A35,INPUT!$B$18,TABEL!B35,G35),CORET!$H$1=4,oildensbalance(INPUT!$B$16,INPUT!$B$11,INPUT!$B$18,C35,G35,A35,INPUT!$B$7,D35,B35))</f>
        <v>#VALUE!</v>
      </c>
      <c r="F35" s="14" t="e">
        <f>_xlfn.IFS(CORET!$I$1=1,OilVisBeggs(INPUT!$B$16,INPUT!$B$7,INPUT!$E$20,INPUT!$E$18,INPUT!$E$19,TABEL!B35,TABEL!A35,INPUT!$B$18),CORET!$I$1=2,OilVisBeal(INPUT!$B$16,INPUT!$B$7,INPUT!$E$20,INPUT!$E$18,INPUT!$E$19,TABEL!B35,TABEL!A35,INPUT!$B$18),CORET!$I$1=3,OilVisEgbogah(INPUT!$E$20,TABEL!A35,INPUT!$B$16,INPUT!$B$7,INPUT!$E$18,INPUT!$E$19,TABEL!B35,INPUT!$B$18),CORET!$I$1=4,OilVisPetro(INPUT!$E$20,TABEL!A35,INPUT!$B$16,INPUT!$B$7,INPUT!$E$18,INPUT!$E$19,B35,INPUT!$B$18),CORET!$I$1=5,OilVisMarhoun(INPUT!$B$11,INPUT!$B$16,INPUT!$B$7,TABEL!A35,INPUT!$B$18,TABEL!B35),CORET!$I$1=6,OilVisAlmae(INPUT!$E$20,INPUT!$B$11,TABEL!A35,INPUT!$B$16,INPUT!$B$7,INPUT!$E$18,INPUT!$E$19,B35,INPUT!$B$18),CORET!$I$1=7,OilVisKhan(INPUT!$E$20,INPUT!$B$11,TABEL!A35,INPUT!$B$16,INPUT!$B$7,INPUT!$E$18,INPUT!$E$19,TABEL!B35,INPUT!$B$18),CORET!$I$1=8,OilVisHanafy(INPUT!$B$16,INPUT!$E$20,INPUT!$B$11,TABEL!A35,INPUT!$B$18,TABEL!B35,G35))</f>
        <v>#VALUE!</v>
      </c>
      <c r="G35" s="14" t="e">
        <f>_xlfn.IFS(CORET!$F$1=1,CoVaquezz(INPUT!$E$20,TABEL!A35,INPUT!$B$16,INPUT!$B$7,INPUT!$E$18,INPUT!$E$19,TABEL!B35,INPUT!$B$18,INPUT!$B$11),CORET!$F$1=2,CoPetrosky(INPUT!$B$11,TABEL!A35,INPUT!$B$16,INPUT!$B$7,TABEL!B35,INPUT!$B$18),CORET!$F$1=3,CoFarshad(INPUT!$E$20,INPUT!$B$11,TABEL!A35,INPUT!$B$16,INPUT!$B$7,INPUT!$E$18,INPUT!$E$19,TABEL!B35,INPUT!$B$18),CORET!$F$1=4,CoAlmehaideb(INPUT!$E$20,TABEL!A35,INPUT!$B$16,INPUT!$B$7,INPUT!$E$18,INPUT!$E$19,TABEL!B35,INPUT!$B$18),CORET!$F$1=5,CoSharkawy(INPUT!$E$20,TABEL!A35,INPUT!$B$16,INPUT!$B$7,INPUT!$E$18,INPUT!$E$19,TABEL!B35,INPUT!$B$18),CORET!$F$1=6,CoKarto(INPUT!$E$20,TABEL!A35,INPUT!$B$16,INPUT!$B$7,INPUT!$E$18,INPUT!$E$19,TABEL!B35,INPUT!$B$18),CORET!$F$1=7,CoAhmed(INPUT!$E$20,TABEL!A35,INPUT!$B$16,INPUT!$B$7,INPUT!$E$18,INPUT!$E$19,TABEL!B35,INPUT!$B$18),CORET!$F$1=8,CoDindoruk(INPUT!$E$20,INPUT!$B$11,TABEL!A35,INPUT!$B$16,INPUT!$B$7,INPUT!$E$18,INPUT!$E$19,B35,INPUT!$B$18),CORET!$F$1=9,CoMcCain(INPUT!$E$20,TABEL!A35,INPUT!$B$16,INPUT!$B$7,INPUT!$E$18,INPUT!$E$19,B35,INPUT!$B$18),CORET!$F$1=10,CoMarhoun(INPUT!$E$20,INPUT!$B$11,TABEL!A35,INPUT!$B$16,INPUT!$B$7,B35,INPUT!$B$18),CORET!$F$1=11,CoCalhoun(INPUT!$E$20,INPUT!$B$11,TABEL!A35,INPUT!$B$16,INPUT!$B$7,INPUT!$E$18,INPUT!$E$19,TABEL!B35,INPUT!$B$18),CORET!$F$1=12,CoLabedi(INPUT!$E$20,INPUT!$B$11,TABEL!A35,INPUT!$B$16,INPUT!$B$7,TABEL!B35,INPUT!$B$18),CORET!$F$1=13,CoDegetto(INPUT!$E$20,INPUT!$B$11,TABEL!A35,INPUT!$B$16,INPUT!$B$7,INPUT!$E$18,INPUT!$E$19,TABEL!B35,INPUT!$B$18))</f>
        <v>#VALUE!</v>
      </c>
      <c r="H35" s="14">
        <f>Bggeneral(INPUT!$B$10,TABEL!A35,INPUT!$B$8,INPUT!$B$7,I35)</f>
        <v>-2.464303271398495E-2</v>
      </c>
      <c r="I35" s="14">
        <f>_xlfn.IFS(CORET!$E$1=1,ZAbouKassem(A35/OUTPUT!$B$17,(INPUT!$B$7+459.67)/(OUTPUT!$B$16+459.67),150,10^-12),CORET!$E$1=2,ZBeggsbrill(INPUT!$B$7+459.67,TABEL!A35,OUTPUT!$B$16+459.67,OUTPUT!$B$17),CORET!$E$1=3,hall(TABEL!A35,INPUT!$B$7+459.67,OUTPUT!$B$16+459.67,OUTPUT!$B$17),CORET!$E$1=4,zpapay(INPUT!$B$7+459.67,TABEL!A35,OUTPUT!$B$16+459.67,OUTPUT!$B$17))</f>
        <v>1.2332073273990354</v>
      </c>
      <c r="J35" s="14">
        <f>gasdensgeneral(A35,I35,INPUT!$B$7)</f>
        <v>-6.2295938454627331</v>
      </c>
      <c r="K35" s="14">
        <f>_xlfn.IFS(CORET!$J$1=1,ViscGas(TABEL!A35,INPUT!$B$7,INPUT!$B$11,TABEL!I35),CORET!$J$1=2,ViscCarr(TABEL!A35,INPUT!$B$7,INPUT!$B$11,OUTPUT!$B$17,OUTPUT!$B$16,INPUT!$E$15,INPUT!$E$14,INPUT!$E$13),CORET!$J$1=3,VisJossi(TABEL!A35,OUTPUT!$B$17,INPUT!$B$7,OUTPUT!$B$16,I35,INPUT!$B$11),CORET!$J$1=4,VisDean(TABEL!A35,OUTPUT!$B$17,INPUT!$B$7,OUTPUT!$B$16,I35,INPUT!$B$11),CORET!$J$1=5,VisLucas(TABEL!A35,OUTPUT!$B$17,INPUT!$B$7,OUTPUT!$B$16,INPUT!$B$11),CORET!$J$1=6,VisLondono(TABEL!A35,I35,INPUT!$B$7,INPUT!$B$11),CORET!$J$1=7,VisSutton(TABEL!A35,I35,INPUT!$B$7,OUTPUT!$B$16,INPUT!$B$11,OUTPUT!$B$17))</f>
        <v>5.1319596020206523E-3</v>
      </c>
      <c r="L35" s="14">
        <f>_xlfn.IFS(CORET!$K$1=1,CgHall(TABEL!A35,INPUT!$B$7,OUTPUT!$B$16,OUTPUT!$B$17,TABEL!I35),CORET!$K$1=2,CgDranchuk(TABEL!A35,INPUT!$B$7,OUTPUT!$B$16,OUTPUT!$B$17,TABEL!I35))</f>
        <v>-4.7022281582539765E-4</v>
      </c>
      <c r="M35" s="12">
        <f>_xlfn.IFS(CORET!$M$1=1,BWMeehan(TABEL!A35,INPUT!$B$7,CORET!$E$18,INPUT!$E$8),CORET!$M$1=2,BWMCain(TABEL!A35,INPUT!$B$7,TABEL!I35,B35,INPUT!$E$7,INPUT!$B$18,INPUT!$B$10,INPUT!$B$8))</f>
        <v>1.0186748544528994</v>
      </c>
      <c r="N35" s="14">
        <f>RswMcCain(TABEL!A35,INPUT!$B$7,INPUT!$E$7)</f>
        <v>-6.040984711344918</v>
      </c>
      <c r="O35" s="14">
        <f>Density_Brine(TABEL!A35,INPUT!$B$7,INPUT!$B$18,B35,INPUT!$E$7,TABEL!Q35,INPUT!$E$8)</f>
        <v>61.224638781818207</v>
      </c>
      <c r="P35" s="14">
        <f>_xlfn.IFS(CORET!$L$1=1,ViscBrine(TABEL!A35,INPUT!$B$7,INPUT!$E$7),CORET!$L$1=2,ViscMeehan(TABEL!A35,INPUT!$B$7,INPUT!$E$8),CORET!$L$1=3,ViscKestin(TABEL!A35,INPUT!$B$7,INPUT!$E$7))</f>
        <v>0.48053758330983137</v>
      </c>
      <c r="Q35" s="77">
        <f>_xlfn.IFS(CORET!$N$1=1,CWaterMeehan(TABEL!A35,INPUT!$B$7,CORET!E46,INPUT!$E$8,N35),CORET!$N$1=2,CWater(TABEL!A35,INPUT!$B$7,I35,B35,INPUT!$E$7,INPUT!$B$18,INPUT!$B$10,INPUT!$B$8))</f>
        <v>3.2600415476954408E-5</v>
      </c>
    </row>
    <row r="36" spans="1:17" ht="15.75" thickBot="1">
      <c r="A36" s="13">
        <f>A35-(($A$7-INPUT!$B$10)/36)</f>
        <v>-1834.1694444444449</v>
      </c>
      <c r="B36" s="17" t="str">
        <f>IF(A36&gt;=INPUT!$B$18,"Unsaturated","Saturated")</f>
        <v>Saturated</v>
      </c>
      <c r="C36" s="14" t="e">
        <f>_xlfn.IFS(CORET!$A$1=1,RSGLASO(INPUT!$B$16,INPUT!$B$11,INPUT!$B$7,B36,TABEL!A36,INPUT!$B$18),CORET!$A$1=2,RSSTANDING(A36,INPUT!$B$16,INPUT!$B$7,INPUT!$B$11,B36,INPUT!$B$18),CORET!$A$1=3,RSVASCUESS(INPUT!$E$20,A36,INPUT!$B$16,INPUT!$B$7,INPUT!$E$18,INPUT!$E$19,B36,INPUT!$B$18),CORET!$A$1=4,RSLASATER(A36,INPUT!$B$16,INPUT!$B$7,INPUT!$B$11,INPUT!$B$18,B36),CORET!$A$1=5,RSFARSHAD(TABEL!A36,INPUT!$B$18,INPUT!$B$16,INPUT!$B$7,INPUT!$B$11,B36),CORET!$A$1=6,RSKARTO(INPUT!$E$18,INPUT!$E$19,INPUT!$B$16,INPUT!$E$20,A36,INPUT!$B$18,INPUT!$B$7,B36),CORET!$A$1=7,RSMARHOUN(INPUT!$B$11,INPUT!$B$16,INPUT!$B$7,A36,INPUT!$B$18,B36),CORET!$A$1=8,RSHANAFY(A36,INPUT!$B$18,B36),CORET!$A$1=9,RSVELARDE(A36,INPUT!$B$18,INPUT!$B$11,INPUT!$B$16,INPUT!$B$7,B36),CORET!$A$1=10,RSFARSHAD(TABEL!A36,INPUT!$B$18,INPUT!$B$16,INPUT!$B$7,INPUT!$B$11,TABEL!B36))</f>
        <v>#VALUE!</v>
      </c>
      <c r="D36" s="14" t="e">
        <f>_xlfn.IFS(CORET!$G$1=1,standingBO(INPUT!$B$7,INPUT!$B$11,INPUT!$B$16,G36,B36,TABEL!A36,INPUT!$B$18),CORET!$G$1=2,VasquezzBO(INPUT!$B$7,INPUT!$E$20,INPUT!$B$11,INPUT!$B$16,TABEL!G36,TABEL!B36,TABEL!A36,INPUT!$B$18,INPUT!$E$19,INPUT!$E$18),CORET!$G$1=3,GlasoBo(INPUT!$B$11,INPUT!$B$16,INPUT!$B$7,TABEL!A36,B36,INPUT!$B$18,G36),CORET!$G$1=4,FarshadBo(INPUT!$B$11,INPUT!$B$16,INPUT!$B$7,TABEL!A36,INPUT!$B$18,TABEL!G36,TABEL!B36),CORET!$G$1=5,LeblancBo(G36,TABEL!A36,INPUT!$B$18,INPUT!$B$16,INPUT!$B$7,INPUT!$B$11,TABEL!B36),CORET!$G$1=6,MarhounBo(G36,INPUT!$B$11,INPUT!$B$16,INPUT!$B$7,TABEL!A36,INPUT!$B$18,TABEL!B36),CORET!$G$1=7,KartoBo(G36,INPUT!$E$18,INPUT!$E$19,INPUT!$B$16,INPUT!$E$20,TABEL!A36,INPUT!$B$18,INPUT!$B$7,TABEL!B36),CORET!$G$1=8,AlmaedhaidebBo(G36,INPUT!$E$20,TABEL!A36,INPUT!$B$16,INPUT!$B$7,INPUT!$E$18,INPUT!$E$19,TABEL!B36,INPUT!$B$18),CORET!$G$1=9,AlshammasiBo(G36,INPUT!$B$11,INPUT!$E$20,TABEL!A36,INPUT!$B$16,INPUT!$B$7,INPUT!$E$18,INPUT!$E$19,TABEL!B36,INPUT!$B$18),CORET!$G$1=10,SharkawyBo(G36,INPUT!$B$11,INPUT!$E$20,TABEL!A36,INPUT!$B$16,INPUT!$B$7,INPUT!$E$18,INPUT!$E$19,TABEL!B36,INPUT!$B$18),CORET!$G$1=11,OsmanBo(G36,INPUT!$B$11,INPUT!$E$20,TABEL!A36,INPUT!$B$16,INPUT!$B$7,INPUT!$E$18,INPUT!$E$19,TABEL!B36,INPUT!$B$18),CORET!$G$1=12,HanafyBo(G36,TABEL!A36,INPUT!$B$18,B36))</f>
        <v>#VALUE!</v>
      </c>
      <c r="E36" s="14" t="e">
        <f>_xlfn.IFS(CORET!$H$1=1,oildensstandard(INPUT!$B$16,C36,INPUT!$B$11,D36,G36,B36),CORET!$H$1=2,oildenshanafy(INPUT!$B$16,INPUT!$B$11,G36,TABEL!A36,INPUT!$B$18,TABEL!B36),CORET!$H$1=3,oildensstanding(INPUT!$B$16,INPUT!$E$20,INPUT!$B$11,TABEL!A36,INPUT!$B$18,TABEL!B36,G36),CORET!$H$1=4,oildensbalance(INPUT!$B$16,INPUT!$B$11,INPUT!$B$18,C36,G36,A36,INPUT!$B$7,D36,B36))</f>
        <v>#VALUE!</v>
      </c>
      <c r="F36" s="14" t="e">
        <f>_xlfn.IFS(CORET!$I$1=1,OilVisBeggs(INPUT!$B$16,INPUT!$B$7,INPUT!$E$20,INPUT!$E$18,INPUT!$E$19,TABEL!B36,TABEL!A36,INPUT!$B$18),CORET!$I$1=2,OilVisBeal(INPUT!$B$16,INPUT!$B$7,INPUT!$E$20,INPUT!$E$18,INPUT!$E$19,TABEL!B36,TABEL!A36,INPUT!$B$18),CORET!$I$1=3,OilVisEgbogah(INPUT!$E$20,TABEL!A36,INPUT!$B$16,INPUT!$B$7,INPUT!$E$18,INPUT!$E$19,TABEL!B36,INPUT!$B$18),CORET!$I$1=4,OilVisPetro(INPUT!$E$20,TABEL!A36,INPUT!$B$16,INPUT!$B$7,INPUT!$E$18,INPUT!$E$19,B36,INPUT!$B$18),CORET!$I$1=5,OilVisMarhoun(INPUT!$B$11,INPUT!$B$16,INPUT!$B$7,TABEL!A36,INPUT!$B$18,TABEL!B36),CORET!$I$1=6,OilVisAlmae(INPUT!$E$20,INPUT!$B$11,TABEL!A36,INPUT!$B$16,INPUT!$B$7,INPUT!$E$18,INPUT!$E$19,B36,INPUT!$B$18),CORET!$I$1=7,OilVisKhan(INPUT!$E$20,INPUT!$B$11,TABEL!A36,INPUT!$B$16,INPUT!$B$7,INPUT!$E$18,INPUT!$E$19,TABEL!B36,INPUT!$B$18),CORET!$I$1=8,OilVisHanafy(INPUT!$B$16,INPUT!$E$20,INPUT!$B$11,TABEL!A36,INPUT!$B$18,TABEL!B36,G36))</f>
        <v>#VALUE!</v>
      </c>
      <c r="G36" s="14" t="e">
        <f>_xlfn.IFS(CORET!$F$1=1,CoVaquezz(INPUT!$E$20,TABEL!A36,INPUT!$B$16,INPUT!$B$7,INPUT!$E$18,INPUT!$E$19,TABEL!B36,INPUT!$B$18,INPUT!$B$11),CORET!$F$1=2,CoPetrosky(INPUT!$B$11,TABEL!A36,INPUT!$B$16,INPUT!$B$7,TABEL!B36,INPUT!$B$18),CORET!$F$1=3,CoFarshad(INPUT!$E$20,INPUT!$B$11,TABEL!A36,INPUT!$B$16,INPUT!$B$7,INPUT!$E$18,INPUT!$E$19,TABEL!B36,INPUT!$B$18),CORET!$F$1=4,CoAlmehaideb(INPUT!$E$20,TABEL!A36,INPUT!$B$16,INPUT!$B$7,INPUT!$E$18,INPUT!$E$19,TABEL!B36,INPUT!$B$18),CORET!$F$1=5,CoSharkawy(INPUT!$E$20,TABEL!A36,INPUT!$B$16,INPUT!$B$7,INPUT!$E$18,INPUT!$E$19,TABEL!B36,INPUT!$B$18),CORET!$F$1=6,CoKarto(INPUT!$E$20,TABEL!A36,INPUT!$B$16,INPUT!$B$7,INPUT!$E$18,INPUT!$E$19,TABEL!B36,INPUT!$B$18),CORET!$F$1=7,CoAhmed(INPUT!$E$20,TABEL!A36,INPUT!$B$16,INPUT!$B$7,INPUT!$E$18,INPUT!$E$19,TABEL!B36,INPUT!$B$18),CORET!$F$1=8,CoDindoruk(INPUT!$E$20,INPUT!$B$11,TABEL!A36,INPUT!$B$16,INPUT!$B$7,INPUT!$E$18,INPUT!$E$19,B36,INPUT!$B$18),CORET!$F$1=9,CoMcCain(INPUT!$E$20,TABEL!A36,INPUT!$B$16,INPUT!$B$7,INPUT!$E$18,INPUT!$E$19,B36,INPUT!$B$18),CORET!$F$1=10,CoMarhoun(INPUT!$E$20,INPUT!$B$11,TABEL!A36,INPUT!$B$16,INPUT!$B$7,B36,INPUT!$B$18),CORET!$F$1=11,CoCalhoun(INPUT!$E$20,INPUT!$B$11,TABEL!A36,INPUT!$B$16,INPUT!$B$7,INPUT!$E$18,INPUT!$E$19,TABEL!B36,INPUT!$B$18),CORET!$F$1=12,CoLabedi(INPUT!$E$20,INPUT!$B$11,TABEL!A36,INPUT!$B$16,INPUT!$B$7,TABEL!B36,INPUT!$B$18),CORET!$F$1=13,CoDegetto(INPUT!$E$20,INPUT!$B$11,TABEL!A36,INPUT!$B$16,INPUT!$B$7,INPUT!$E$18,INPUT!$E$19,TABEL!B36,INPUT!$B$18))</f>
        <v>#VALUE!</v>
      </c>
      <c r="H36" s="14">
        <f>Bggeneral(INPUT!$B$10,TABEL!A36,INPUT!$B$8,INPUT!$B$7,I36)</f>
        <v>-2.3119230478281405E-2</v>
      </c>
      <c r="I36" s="14">
        <f>_xlfn.IFS(CORET!$E$1=1,ZAbouKassem(A36/OUTPUT!$B$17,(INPUT!$B$7+459.67)/(OUTPUT!$B$16+459.67),150,10^-12),CORET!$E$1=2,ZBeggsbrill(INPUT!$B$7+459.67,TABEL!A36,OUTPUT!$B$16+459.67,OUTPUT!$B$17),CORET!$E$1=3,hall(TABEL!A36,INPUT!$B$7+459.67,OUTPUT!$B$16+459.67,OUTPUT!$B$17),CORET!$E$1=4,zpapay(INPUT!$B$7+459.67,TABEL!A36,OUTPUT!$B$16+459.67,OUTPUT!$B$17))</f>
        <v>1.2514358649547903</v>
      </c>
      <c r="J36" s="14">
        <f>gasdensgeneral(A36,I36,INPUT!$B$7)</f>
        <v>-6.6401900821393269</v>
      </c>
      <c r="K36" s="14">
        <f>_xlfn.IFS(CORET!$J$1=1,ViscGas(TABEL!A36,INPUT!$B$7,INPUT!$B$11,TABEL!I36),CORET!$J$1=2,ViscCarr(TABEL!A36,INPUT!$B$7,INPUT!$B$11,OUTPUT!$B$17,OUTPUT!$B$16,INPUT!$E$15,INPUT!$E$14,INPUT!$E$13),CORET!$J$1=3,VisJossi(TABEL!A36,OUTPUT!$B$17,INPUT!$B$7,OUTPUT!$B$16,I36,INPUT!$B$11),CORET!$J$1=4,VisDean(TABEL!A36,OUTPUT!$B$17,INPUT!$B$7,OUTPUT!$B$16,I36,INPUT!$B$11),CORET!$J$1=5,VisLucas(TABEL!A36,OUTPUT!$B$17,INPUT!$B$7,OUTPUT!$B$16,INPUT!$B$11),CORET!$J$1=6,VisLondono(TABEL!A36,I36,INPUT!$B$7,INPUT!$B$11),CORET!$J$1=7,VisSutton(TABEL!A36,I36,INPUT!$B$7,OUTPUT!$B$16,INPUT!$B$11,OUTPUT!$B$17))</f>
        <v>4.8388117366356545E-3</v>
      </c>
      <c r="L36" s="14">
        <f>_xlfn.IFS(CORET!$K$1=1,CgHall(TABEL!A36,INPUT!$B$7,OUTPUT!$B$16,OUTPUT!$B$17,TABEL!I36),CORET!$K$1=2,CgDranchuk(TABEL!A36,INPUT!$B$7,OUTPUT!$B$16,OUTPUT!$B$17,TABEL!I36))</f>
        <v>-4.2814768438656991E-4</v>
      </c>
      <c r="M36" s="12">
        <f>_xlfn.IFS(CORET!$M$1=1,BWMeehan(TABEL!A36,INPUT!$B$7,CORET!$E$18,INPUT!$E$8),CORET!$M$1=2,BWMCain(TABEL!A36,INPUT!$B$7,TABEL!I36,B36,INPUT!$E$7,INPUT!$B$18,INPUT!$B$10,INPUT!$B$8))</f>
        <v>1.0186390553889502</v>
      </c>
      <c r="N36" s="14">
        <f>RswMcCain(TABEL!A36,INPUT!$B$7,INPUT!$E$7)</f>
        <v>-6.816893122121586</v>
      </c>
      <c r="O36" s="14">
        <f>Density_Brine(TABEL!A36,INPUT!$B$7,INPUT!$B$18,B36,INPUT!$E$7,TABEL!Q36,INPUT!$E$8)</f>
        <v>61.226790461304113</v>
      </c>
      <c r="P36" s="14">
        <f>_xlfn.IFS(CORET!$L$1=1,ViscBrine(TABEL!A36,INPUT!$B$7,INPUT!$E$7),CORET!$L$1=2,ViscMeehan(TABEL!A36,INPUT!$B$7,INPUT!$E$8),CORET!$L$1=3,ViscKestin(TABEL!A36,INPUT!$B$7,INPUT!$E$7))</f>
        <v>0.4803356724631434</v>
      </c>
      <c r="Q36" s="77">
        <f>_xlfn.IFS(CORET!$N$1=1,CWaterMeehan(TABEL!A36,INPUT!$B$7,CORET!E47,INPUT!$E$8,N36),CORET!$N$1=2,CWater(TABEL!A36,INPUT!$B$7,I36,B36,INPUT!$E$7,INPUT!$B$18,INPUT!$B$10,INPUT!$B$8))</f>
        <v>3.2714864162766158E-5</v>
      </c>
    </row>
    <row r="37" spans="1:17" ht="15.75" thickBot="1">
      <c r="A37" s="13">
        <f>A36-(($A$7-INPUT!$B$10)/36)</f>
        <v>-1972.6500000000005</v>
      </c>
      <c r="B37" s="17" t="str">
        <f>IF(A37&gt;=INPUT!$B$18,"Unsaturated","Saturated")</f>
        <v>Saturated</v>
      </c>
      <c r="C37" s="14" t="e">
        <f>_xlfn.IFS(CORET!$A$1=1,RSGLASO(INPUT!$B$16,INPUT!$B$11,INPUT!$B$7,B37,TABEL!A37,INPUT!$B$18),CORET!$A$1=2,RSSTANDING(A37,INPUT!$B$16,INPUT!$B$7,INPUT!$B$11,B37,INPUT!$B$18),CORET!$A$1=3,RSVASCUESS(INPUT!$E$20,A37,INPUT!$B$16,INPUT!$B$7,INPUT!$E$18,INPUT!$E$19,B37,INPUT!$B$18),CORET!$A$1=4,RSLASATER(A37,INPUT!$B$16,INPUT!$B$7,INPUT!$B$11,INPUT!$B$18,B37),CORET!$A$1=5,RSFARSHAD(TABEL!A37,INPUT!$B$18,INPUT!$B$16,INPUT!$B$7,INPUT!$B$11,B37),CORET!$A$1=6,RSKARTO(INPUT!$E$18,INPUT!$E$19,INPUT!$B$16,INPUT!$E$20,A37,INPUT!$B$18,INPUT!$B$7,B37),CORET!$A$1=7,RSMARHOUN(INPUT!$B$11,INPUT!$B$16,INPUT!$B$7,A37,INPUT!$B$18,B37),CORET!$A$1=8,RSHANAFY(A37,INPUT!$B$18,B37),CORET!$A$1=9,RSVELARDE(A37,INPUT!$B$18,INPUT!$B$11,INPUT!$B$16,INPUT!$B$7,B37),CORET!$A$1=10,RSFARSHAD(TABEL!A37,INPUT!$B$18,INPUT!$B$16,INPUT!$B$7,INPUT!$B$11,TABEL!B37))</f>
        <v>#VALUE!</v>
      </c>
      <c r="D37" s="14" t="e">
        <f>_xlfn.IFS(CORET!$G$1=1,standingBO(INPUT!$B$7,INPUT!$B$11,INPUT!$B$16,G37,B37,TABEL!A37,INPUT!$B$18),CORET!$G$1=2,VasquezzBO(INPUT!$B$7,INPUT!$E$20,INPUT!$B$11,INPUT!$B$16,TABEL!G37,TABEL!B37,TABEL!A37,INPUT!$B$18,INPUT!$E$19,INPUT!$E$18),CORET!$G$1=3,GlasoBo(INPUT!$B$11,INPUT!$B$16,INPUT!$B$7,TABEL!A37,B37,INPUT!$B$18,G37),CORET!$G$1=4,FarshadBo(INPUT!$B$11,INPUT!$B$16,INPUT!$B$7,TABEL!A37,INPUT!$B$18,TABEL!G37,TABEL!B37),CORET!$G$1=5,LeblancBo(G37,TABEL!A37,INPUT!$B$18,INPUT!$B$16,INPUT!$B$7,INPUT!$B$11,TABEL!B37),CORET!$G$1=6,MarhounBo(G37,INPUT!$B$11,INPUT!$B$16,INPUT!$B$7,TABEL!A37,INPUT!$B$18,TABEL!B37),CORET!$G$1=7,KartoBo(G37,INPUT!$E$18,INPUT!$E$19,INPUT!$B$16,INPUT!$E$20,TABEL!A37,INPUT!$B$18,INPUT!$B$7,TABEL!B37),CORET!$G$1=8,AlmaedhaidebBo(G37,INPUT!$E$20,TABEL!A37,INPUT!$B$16,INPUT!$B$7,INPUT!$E$18,INPUT!$E$19,TABEL!B37,INPUT!$B$18),CORET!$G$1=9,AlshammasiBo(G37,INPUT!$B$11,INPUT!$E$20,TABEL!A37,INPUT!$B$16,INPUT!$B$7,INPUT!$E$18,INPUT!$E$19,TABEL!B37,INPUT!$B$18),CORET!$G$1=10,SharkawyBo(G37,INPUT!$B$11,INPUT!$E$20,TABEL!A37,INPUT!$B$16,INPUT!$B$7,INPUT!$E$18,INPUT!$E$19,TABEL!B37,INPUT!$B$18),CORET!$G$1=11,OsmanBo(G37,INPUT!$B$11,INPUT!$E$20,TABEL!A37,INPUT!$B$16,INPUT!$B$7,INPUT!$E$18,INPUT!$E$19,TABEL!B37,INPUT!$B$18),CORET!$G$1=12,HanafyBo(G37,TABEL!A37,INPUT!$B$18,B37))</f>
        <v>#VALUE!</v>
      </c>
      <c r="E37" s="14" t="e">
        <f>_xlfn.IFS(CORET!$H$1=1,oildensstandard(INPUT!$B$16,C37,INPUT!$B$11,D37,G37,B37),CORET!$H$1=2,oildenshanafy(INPUT!$B$16,INPUT!$B$11,G37,TABEL!A37,INPUT!$B$18,TABEL!B37),CORET!$H$1=3,oildensstanding(INPUT!$B$16,INPUT!$E$20,INPUT!$B$11,TABEL!A37,INPUT!$B$18,TABEL!B37,G37),CORET!$H$1=4,oildensbalance(INPUT!$B$16,INPUT!$B$11,INPUT!$B$18,C37,G37,A37,INPUT!$B$7,D37,B37))</f>
        <v>#VALUE!</v>
      </c>
      <c r="F37" s="14" t="e">
        <f>_xlfn.IFS(CORET!$I$1=1,OilVisBeggs(INPUT!$B$16,INPUT!$B$7,INPUT!$E$20,INPUT!$E$18,INPUT!$E$19,TABEL!B37,TABEL!A37,INPUT!$B$18),CORET!$I$1=2,OilVisBeal(INPUT!$B$16,INPUT!$B$7,INPUT!$E$20,INPUT!$E$18,INPUT!$E$19,TABEL!B37,TABEL!A37,INPUT!$B$18),CORET!$I$1=3,OilVisEgbogah(INPUT!$E$20,TABEL!A37,INPUT!$B$16,INPUT!$B$7,INPUT!$E$18,INPUT!$E$19,TABEL!B37,INPUT!$B$18),CORET!$I$1=4,OilVisPetro(INPUT!$E$20,TABEL!A37,INPUT!$B$16,INPUT!$B$7,INPUT!$E$18,INPUT!$E$19,B37,INPUT!$B$18),CORET!$I$1=5,OilVisMarhoun(INPUT!$B$11,INPUT!$B$16,INPUT!$B$7,TABEL!A37,INPUT!$B$18,TABEL!B37),CORET!$I$1=6,OilVisAlmae(INPUT!$E$20,INPUT!$B$11,TABEL!A37,INPUT!$B$16,INPUT!$B$7,INPUT!$E$18,INPUT!$E$19,B37,INPUT!$B$18),CORET!$I$1=7,OilVisKhan(INPUT!$E$20,INPUT!$B$11,TABEL!A37,INPUT!$B$16,INPUT!$B$7,INPUT!$E$18,INPUT!$E$19,TABEL!B37,INPUT!$B$18),CORET!$I$1=8,OilVisHanafy(INPUT!$B$16,INPUT!$E$20,INPUT!$B$11,TABEL!A37,INPUT!$B$18,TABEL!B37,G37))</f>
        <v>#VALUE!</v>
      </c>
      <c r="G37" s="14" t="e">
        <f>_xlfn.IFS(CORET!$F$1=1,CoVaquezz(INPUT!$E$20,TABEL!A37,INPUT!$B$16,INPUT!$B$7,INPUT!$E$18,INPUT!$E$19,TABEL!B37,INPUT!$B$18,INPUT!$B$11),CORET!$F$1=2,CoPetrosky(INPUT!$B$11,TABEL!A37,INPUT!$B$16,INPUT!$B$7,TABEL!B37,INPUT!$B$18),CORET!$F$1=3,CoFarshad(INPUT!$E$20,INPUT!$B$11,TABEL!A37,INPUT!$B$16,INPUT!$B$7,INPUT!$E$18,INPUT!$E$19,TABEL!B37,INPUT!$B$18),CORET!$F$1=4,CoAlmehaideb(INPUT!$E$20,TABEL!A37,INPUT!$B$16,INPUT!$B$7,INPUT!$E$18,INPUT!$E$19,TABEL!B37,INPUT!$B$18),CORET!$F$1=5,CoSharkawy(INPUT!$E$20,TABEL!A37,INPUT!$B$16,INPUT!$B$7,INPUT!$E$18,INPUT!$E$19,TABEL!B37,INPUT!$B$18),CORET!$F$1=6,CoKarto(INPUT!$E$20,TABEL!A37,INPUT!$B$16,INPUT!$B$7,INPUT!$E$18,INPUT!$E$19,TABEL!B37,INPUT!$B$18),CORET!$F$1=7,CoAhmed(INPUT!$E$20,TABEL!A37,INPUT!$B$16,INPUT!$B$7,INPUT!$E$18,INPUT!$E$19,TABEL!B37,INPUT!$B$18),CORET!$F$1=8,CoDindoruk(INPUT!$E$20,INPUT!$B$11,TABEL!A37,INPUT!$B$16,INPUT!$B$7,INPUT!$E$18,INPUT!$E$19,B37,INPUT!$B$18),CORET!$F$1=9,CoMcCain(INPUT!$E$20,TABEL!A37,INPUT!$B$16,INPUT!$B$7,INPUT!$E$18,INPUT!$E$19,B37,INPUT!$B$18),CORET!$F$1=10,CoMarhoun(INPUT!$E$20,INPUT!$B$11,TABEL!A37,INPUT!$B$16,INPUT!$B$7,B37,INPUT!$B$18),CORET!$F$1=11,CoCalhoun(INPUT!$E$20,INPUT!$B$11,TABEL!A37,INPUT!$B$16,INPUT!$B$7,INPUT!$E$18,INPUT!$E$19,TABEL!B37,INPUT!$B$18),CORET!$F$1=12,CoLabedi(INPUT!$E$20,INPUT!$B$11,TABEL!A37,INPUT!$B$16,INPUT!$B$7,TABEL!B37,INPUT!$B$18),CORET!$F$1=13,CoDegetto(INPUT!$E$20,INPUT!$B$11,TABEL!A37,INPUT!$B$16,INPUT!$B$7,INPUT!$E$18,INPUT!$E$19,TABEL!B37,INPUT!$B$18))</f>
        <v>#VALUE!</v>
      </c>
      <c r="H37" s="14">
        <f>Bggeneral(INPUT!$B$10,TABEL!A37,INPUT!$B$8,INPUT!$B$7,I37)</f>
        <v>-2.1806442745658981E-2</v>
      </c>
      <c r="I37" s="14">
        <f>_xlfn.IFS(CORET!$E$1=1,ZAbouKassem(A37/OUTPUT!$B$17,(INPUT!$B$7+459.67)/(OUTPUT!$B$16+459.67),150,10^-12),CORET!$E$1=2,ZBeggsbrill(INPUT!$B$7+459.67,TABEL!A37,OUTPUT!$B$16+459.67,OUTPUT!$B$17),CORET!$E$1=3,hall(TABEL!A37,INPUT!$B$7+459.67,OUTPUT!$B$16+459.67,OUTPUT!$B$17),CORET!$E$1=4,zpapay(INPUT!$B$7+459.67,TABEL!A37,OUTPUT!$B$16+459.67,OUTPUT!$B$17))</f>
        <v>1.2694939364001743</v>
      </c>
      <c r="J37" s="14">
        <f>gasdensgeneral(A37,I37,INPUT!$B$7)</f>
        <v>-7.0399416685758132</v>
      </c>
      <c r="K37" s="14">
        <f>_xlfn.IFS(CORET!$J$1=1,ViscGas(TABEL!A37,INPUT!$B$7,INPUT!$B$11,TABEL!I37),CORET!$J$1=2,ViscCarr(TABEL!A37,INPUT!$B$7,INPUT!$B$11,OUTPUT!$B$17,OUTPUT!$B$16,INPUT!$E$15,INPUT!$E$14,INPUT!$E$13),CORET!$J$1=3,VisJossi(TABEL!A37,OUTPUT!$B$17,INPUT!$B$7,OUTPUT!$B$16,I37,INPUT!$B$11),CORET!$J$1=4,VisDean(TABEL!A37,OUTPUT!$B$17,INPUT!$B$7,OUTPUT!$B$16,I37,INPUT!$B$11),CORET!$J$1=5,VisLucas(TABEL!A37,OUTPUT!$B$17,INPUT!$B$7,OUTPUT!$B$16,INPUT!$B$11),CORET!$J$1=6,VisLondono(TABEL!A37,I37,INPUT!$B$7,INPUT!$B$11),CORET!$J$1=7,VisSutton(TABEL!A37,I37,INPUT!$B$7,OUTPUT!$B$16,INPUT!$B$11,OUTPUT!$B$17))</f>
        <v>4.5573035730003238E-3</v>
      </c>
      <c r="L37" s="14">
        <f>_xlfn.IFS(CORET!$K$1=1,CgHall(TABEL!A37,INPUT!$B$7,OUTPUT!$B$16,OUTPUT!$B$17,TABEL!I37),CORET!$K$1=2,CgDranchuk(TABEL!A37,INPUT!$B$7,OUTPUT!$B$16,OUTPUT!$B$17,TABEL!I37))</f>
        <v>-3.9230588101602052E-4</v>
      </c>
      <c r="M37" s="12">
        <f>_xlfn.IFS(CORET!$M$1=1,BWMeehan(TABEL!A37,INPUT!$B$7,CORET!$E$18,INPUT!$E$8),CORET!$M$1=2,BWMCain(TABEL!A37,INPUT!$B$7,TABEL!I37,B37,INPUT!$E$7,INPUT!$B$18,INPUT!$B$10,INPUT!$B$8))</f>
        <v>1.0185935372388688</v>
      </c>
      <c r="N37" s="14">
        <f>RswMcCain(TABEL!A37,INPUT!$B$7,INPUT!$E$7)</f>
        <v>-7.6005469928632818</v>
      </c>
      <c r="O37" s="14">
        <f>Density_Brine(TABEL!A37,INPUT!$B$7,INPUT!$B$18,B37,INPUT!$E$7,TABEL!Q37,INPUT!$E$8)</f>
        <v>61.22952651855887</v>
      </c>
      <c r="P37" s="14">
        <f>_xlfn.IFS(CORET!$L$1=1,ViscBrine(TABEL!A37,INPUT!$B$7,INPUT!$E$7),CORET!$L$1=2,ViscMeehan(TABEL!A37,INPUT!$B$7,INPUT!$E$8),CORET!$L$1=3,ViscKestin(TABEL!A37,INPUT!$B$7,INPUT!$E$7))</f>
        <v>0.48013376161645543</v>
      </c>
      <c r="Q37" s="77">
        <f>_xlfn.IFS(CORET!$N$1=1,CWaterMeehan(TABEL!A37,INPUT!$B$7,CORET!E48,INPUT!$E$8,N37),CORET!$N$1=2,CWater(TABEL!A37,INPUT!$B$7,I37,B37,INPUT!$E$7,INPUT!$B$18,INPUT!$B$10,INPUT!$B$8))</f>
        <v>3.2829268791098835E-5</v>
      </c>
    </row>
    <row r="38" spans="1:17" ht="15.75" thickBot="1">
      <c r="A38" s="13">
        <f>A37-(($A$7-INPUT!$B$10)/36)</f>
        <v>-2111.1305555555559</v>
      </c>
      <c r="B38" s="17" t="str">
        <f>IF(A38&gt;=INPUT!$B$18,"Unsaturated","Saturated")</f>
        <v>Saturated</v>
      </c>
      <c r="C38" s="14" t="e">
        <f>_xlfn.IFS(CORET!$A$1=1,RSGLASO(INPUT!$B$16,INPUT!$B$11,INPUT!$B$7,B38,TABEL!A38,INPUT!$B$18),CORET!$A$1=2,RSSTANDING(A38,INPUT!$B$16,INPUT!$B$7,INPUT!$B$11,B38,INPUT!$B$18),CORET!$A$1=3,RSVASCUESS(INPUT!$E$20,A38,INPUT!$B$16,INPUT!$B$7,INPUT!$E$18,INPUT!$E$19,B38,INPUT!$B$18),CORET!$A$1=4,RSLASATER(A38,INPUT!$B$16,INPUT!$B$7,INPUT!$B$11,INPUT!$B$18,B38),CORET!$A$1=5,RSFARSHAD(TABEL!A38,INPUT!$B$18,INPUT!$B$16,INPUT!$B$7,INPUT!$B$11,B38),CORET!$A$1=6,RSKARTO(INPUT!$E$18,INPUT!$E$19,INPUT!$B$16,INPUT!$E$20,A38,INPUT!$B$18,INPUT!$B$7,B38),CORET!$A$1=7,RSMARHOUN(INPUT!$B$11,INPUT!$B$16,INPUT!$B$7,A38,INPUT!$B$18,B38),CORET!$A$1=8,RSHANAFY(A38,INPUT!$B$18,B38),CORET!$A$1=9,RSVELARDE(A38,INPUT!$B$18,INPUT!$B$11,INPUT!$B$16,INPUT!$B$7,B38),CORET!$A$1=10,RSFARSHAD(TABEL!A38,INPUT!$B$18,INPUT!$B$16,INPUT!$B$7,INPUT!$B$11,TABEL!B38))</f>
        <v>#VALUE!</v>
      </c>
      <c r="D38" s="14" t="e">
        <f>_xlfn.IFS(CORET!$G$1=1,standingBO(INPUT!$B$7,INPUT!$B$11,INPUT!$B$16,G38,B38,TABEL!A38,INPUT!$B$18),CORET!$G$1=2,VasquezzBO(INPUT!$B$7,INPUT!$E$20,INPUT!$B$11,INPUT!$B$16,TABEL!G38,TABEL!B38,TABEL!A38,INPUT!$B$18,INPUT!$E$19,INPUT!$E$18),CORET!$G$1=3,GlasoBo(INPUT!$B$11,INPUT!$B$16,INPUT!$B$7,TABEL!A38,B38,INPUT!$B$18,G38),CORET!$G$1=4,FarshadBo(INPUT!$B$11,INPUT!$B$16,INPUT!$B$7,TABEL!A38,INPUT!$B$18,TABEL!G38,TABEL!B38),CORET!$G$1=5,LeblancBo(G38,TABEL!A38,INPUT!$B$18,INPUT!$B$16,INPUT!$B$7,INPUT!$B$11,TABEL!B38),CORET!$G$1=6,MarhounBo(G38,INPUT!$B$11,INPUT!$B$16,INPUT!$B$7,TABEL!A38,INPUT!$B$18,TABEL!B38),CORET!$G$1=7,KartoBo(G38,INPUT!$E$18,INPUT!$E$19,INPUT!$B$16,INPUT!$E$20,TABEL!A38,INPUT!$B$18,INPUT!$B$7,TABEL!B38),CORET!$G$1=8,AlmaedhaidebBo(G38,INPUT!$E$20,TABEL!A38,INPUT!$B$16,INPUT!$B$7,INPUT!$E$18,INPUT!$E$19,TABEL!B38,INPUT!$B$18),CORET!$G$1=9,AlshammasiBo(G38,INPUT!$B$11,INPUT!$E$20,TABEL!A38,INPUT!$B$16,INPUT!$B$7,INPUT!$E$18,INPUT!$E$19,TABEL!B38,INPUT!$B$18),CORET!$G$1=10,SharkawyBo(G38,INPUT!$B$11,INPUT!$E$20,TABEL!A38,INPUT!$B$16,INPUT!$B$7,INPUT!$E$18,INPUT!$E$19,TABEL!B38,INPUT!$B$18),CORET!$G$1=11,OsmanBo(G38,INPUT!$B$11,INPUT!$E$20,TABEL!A38,INPUT!$B$16,INPUT!$B$7,INPUT!$E$18,INPUT!$E$19,TABEL!B38,INPUT!$B$18),CORET!$G$1=12,HanafyBo(G38,TABEL!A38,INPUT!$B$18,B38))</f>
        <v>#VALUE!</v>
      </c>
      <c r="E38" s="14" t="e">
        <f>_xlfn.IFS(CORET!$H$1=1,oildensstandard(INPUT!$B$16,C38,INPUT!$B$11,D38,G38,B38),CORET!$H$1=2,oildenshanafy(INPUT!$B$16,INPUT!$B$11,G38,TABEL!A38,INPUT!$B$18,TABEL!B38),CORET!$H$1=3,oildensstanding(INPUT!$B$16,INPUT!$E$20,INPUT!$B$11,TABEL!A38,INPUT!$B$18,TABEL!B38,G38),CORET!$H$1=4,oildensbalance(INPUT!$B$16,INPUT!$B$11,INPUT!$B$18,C38,G38,A38,INPUT!$B$7,D38,B38))</f>
        <v>#VALUE!</v>
      </c>
      <c r="F38" s="14" t="e">
        <f>_xlfn.IFS(CORET!$I$1=1,OilVisBeggs(INPUT!$B$16,INPUT!$B$7,INPUT!$E$20,INPUT!$E$18,INPUT!$E$19,TABEL!B38,TABEL!A38,INPUT!$B$18),CORET!$I$1=2,OilVisBeal(INPUT!$B$16,INPUT!$B$7,INPUT!$E$20,INPUT!$E$18,INPUT!$E$19,TABEL!B38,TABEL!A38,INPUT!$B$18),CORET!$I$1=3,OilVisEgbogah(INPUT!$E$20,TABEL!A38,INPUT!$B$16,INPUT!$B$7,INPUT!$E$18,INPUT!$E$19,TABEL!B38,INPUT!$B$18),CORET!$I$1=4,OilVisPetro(INPUT!$E$20,TABEL!A38,INPUT!$B$16,INPUT!$B$7,INPUT!$E$18,INPUT!$E$19,B38,INPUT!$B$18),CORET!$I$1=5,OilVisMarhoun(INPUT!$B$11,INPUT!$B$16,INPUT!$B$7,TABEL!A38,INPUT!$B$18,TABEL!B38),CORET!$I$1=6,OilVisAlmae(INPUT!$E$20,INPUT!$B$11,TABEL!A38,INPUT!$B$16,INPUT!$B$7,INPUT!$E$18,INPUT!$E$19,B38,INPUT!$B$18),CORET!$I$1=7,OilVisKhan(INPUT!$E$20,INPUT!$B$11,TABEL!A38,INPUT!$B$16,INPUT!$B$7,INPUT!$E$18,INPUT!$E$19,TABEL!B38,INPUT!$B$18),CORET!$I$1=8,OilVisHanafy(INPUT!$B$16,INPUT!$E$20,INPUT!$B$11,TABEL!A38,INPUT!$B$18,TABEL!B38,G38))</f>
        <v>#VALUE!</v>
      </c>
      <c r="G38" s="14" t="e">
        <f>_xlfn.IFS(CORET!$F$1=1,CoVaquezz(INPUT!$E$20,TABEL!A38,INPUT!$B$16,INPUT!$B$7,INPUT!$E$18,INPUT!$E$19,TABEL!B38,INPUT!$B$18,INPUT!$B$11),CORET!$F$1=2,CoPetrosky(INPUT!$B$11,TABEL!A38,INPUT!$B$16,INPUT!$B$7,TABEL!B38,INPUT!$B$18),CORET!$F$1=3,CoFarshad(INPUT!$E$20,INPUT!$B$11,TABEL!A38,INPUT!$B$16,INPUT!$B$7,INPUT!$E$18,INPUT!$E$19,TABEL!B38,INPUT!$B$18),CORET!$F$1=4,CoAlmehaideb(INPUT!$E$20,TABEL!A38,INPUT!$B$16,INPUT!$B$7,INPUT!$E$18,INPUT!$E$19,TABEL!B38,INPUT!$B$18),CORET!$F$1=5,CoSharkawy(INPUT!$E$20,TABEL!A38,INPUT!$B$16,INPUT!$B$7,INPUT!$E$18,INPUT!$E$19,TABEL!B38,INPUT!$B$18),CORET!$F$1=6,CoKarto(INPUT!$E$20,TABEL!A38,INPUT!$B$16,INPUT!$B$7,INPUT!$E$18,INPUT!$E$19,TABEL!B38,INPUT!$B$18),CORET!$F$1=7,CoAhmed(INPUT!$E$20,TABEL!A38,INPUT!$B$16,INPUT!$B$7,INPUT!$E$18,INPUT!$E$19,TABEL!B38,INPUT!$B$18),CORET!$F$1=8,CoDindoruk(INPUT!$E$20,INPUT!$B$11,TABEL!A38,INPUT!$B$16,INPUT!$B$7,INPUT!$E$18,INPUT!$E$19,B38,INPUT!$B$18),CORET!$F$1=9,CoMcCain(INPUT!$E$20,TABEL!A38,INPUT!$B$16,INPUT!$B$7,INPUT!$E$18,INPUT!$E$19,B38,INPUT!$B$18),CORET!$F$1=10,CoMarhoun(INPUT!$E$20,INPUT!$B$11,TABEL!A38,INPUT!$B$16,INPUT!$B$7,B38,INPUT!$B$18),CORET!$F$1=11,CoCalhoun(INPUT!$E$20,INPUT!$B$11,TABEL!A38,INPUT!$B$16,INPUT!$B$7,INPUT!$E$18,INPUT!$E$19,TABEL!B38,INPUT!$B$18),CORET!$F$1=12,CoLabedi(INPUT!$E$20,INPUT!$B$11,TABEL!A38,INPUT!$B$16,INPUT!$B$7,TABEL!B38,INPUT!$B$18),CORET!$F$1=13,CoDegetto(INPUT!$E$20,INPUT!$B$11,TABEL!A38,INPUT!$B$16,INPUT!$B$7,INPUT!$E$18,INPUT!$E$19,TABEL!B38,INPUT!$B$18))</f>
        <v>#VALUE!</v>
      </c>
      <c r="H38" s="14">
        <f>Bggeneral(INPUT!$B$10,TABEL!A38,INPUT!$B$8,INPUT!$B$7,I38)</f>
        <v>-2.0663079871027151E-2</v>
      </c>
      <c r="I38" s="14">
        <f>_xlfn.IFS(CORET!$E$1=1,ZAbouKassem(A38/OUTPUT!$B$17,(INPUT!$B$7+459.67)/(OUTPUT!$B$16+459.67),150,10^-12),CORET!$E$1=2,ZBeggsbrill(INPUT!$B$7+459.67,TABEL!A38,OUTPUT!$B$16+459.67,OUTPUT!$B$17),CORET!$E$1=3,hall(TABEL!A38,INPUT!$B$7+459.67,OUTPUT!$B$16+459.67,OUTPUT!$B$17),CORET!$E$1=4,zpapay(INPUT!$B$7+459.67,TABEL!A38,OUTPUT!$B$16+459.67,OUTPUT!$B$17))</f>
        <v>1.2873774999845</v>
      </c>
      <c r="J38" s="14">
        <f>gasdensgeneral(A38,I38,INPUT!$B$7)</f>
        <v>-7.4294870796986494</v>
      </c>
      <c r="K38" s="14">
        <f>_xlfn.IFS(CORET!$J$1=1,ViscGas(TABEL!A38,INPUT!$B$7,INPUT!$B$11,TABEL!I38),CORET!$J$1=2,ViscCarr(TABEL!A38,INPUT!$B$7,INPUT!$B$11,OUTPUT!$B$17,OUTPUT!$B$16,INPUT!$E$15,INPUT!$E$14,INPUT!$E$13),CORET!$J$1=3,VisJossi(TABEL!A38,OUTPUT!$B$17,INPUT!$B$7,OUTPUT!$B$16,I38,INPUT!$B$11),CORET!$J$1=4,VisDean(TABEL!A38,OUTPUT!$B$17,INPUT!$B$7,OUTPUT!$B$16,I38,INPUT!$B$11),CORET!$J$1=5,VisLucas(TABEL!A38,OUTPUT!$B$17,INPUT!$B$7,OUTPUT!$B$16,INPUT!$B$11),CORET!$J$1=6,VisLondono(TABEL!A38,I38,INPUT!$B$7,INPUT!$B$11),CORET!$J$1=7,VisSutton(TABEL!A38,I38,INPUT!$B$7,OUTPUT!$B$16,INPUT!$B$11,OUTPUT!$B$17))</f>
        <v>4.2873196141028358E-3</v>
      </c>
      <c r="L38" s="14">
        <f>_xlfn.IFS(CORET!$K$1=1,CgHall(TABEL!A38,INPUT!$B$7,OUTPUT!$B$16,OUTPUT!$B$17,TABEL!I38),CORET!$K$1=2,CgDranchuk(TABEL!A38,INPUT!$B$7,OUTPUT!$B$16,OUTPUT!$B$17,TABEL!I38))</f>
        <v>-3.6145730340271938E-4</v>
      </c>
      <c r="M38" s="12">
        <f>_xlfn.IFS(CORET!$M$1=1,BWMeehan(TABEL!A38,INPUT!$B$7,CORET!$E$18,INPUT!$E$8),CORET!$M$1=2,BWMCain(TABEL!A38,INPUT!$B$7,TABEL!I38,B38,INPUT!$E$7,INPUT!$B$18,INPUT!$B$10,INPUT!$B$8))</f>
        <v>1.0185383000026551</v>
      </c>
      <c r="N38" s="14">
        <f>RswMcCain(TABEL!A38,INPUT!$B$7,INPUT!$E$7)</f>
        <v>-8.3919463235700071</v>
      </c>
      <c r="O38" s="14">
        <f>Density_Brine(TABEL!A38,INPUT!$B$7,INPUT!$B$18,B38,INPUT!$E$7,TABEL!Q38,INPUT!$E$8)</f>
        <v>61.23284711025341</v>
      </c>
      <c r="P38" s="14">
        <f>_xlfn.IFS(CORET!$L$1=1,ViscBrine(TABEL!A38,INPUT!$B$7,INPUT!$E$7),CORET!$L$1=2,ViscMeehan(TABEL!A38,INPUT!$B$7,INPUT!$E$8),CORET!$L$1=3,ViscKestin(TABEL!A38,INPUT!$B$7,INPUT!$E$7))</f>
        <v>0.47993185076976752</v>
      </c>
      <c r="Q38" s="77">
        <f>_xlfn.IFS(CORET!$N$1=1,CWaterMeehan(TABEL!A38,INPUT!$B$7,CORET!E49,INPUT!$E$8,N38),CORET!$N$1=2,CWater(TABEL!A38,INPUT!$B$7,I38,B38,INPUT!$E$7,INPUT!$B$18,INPUT!$B$10,INPUT!$B$8))</f>
        <v>3.294362908713905E-5</v>
      </c>
    </row>
    <row r="39" spans="1:17" ht="15.75" thickBot="1">
      <c r="A39" s="13">
        <f>A38-(($A$7-INPUT!$B$10)/36)</f>
        <v>-2249.6111111111113</v>
      </c>
      <c r="B39" s="17" t="str">
        <f>IF(A39&gt;=INPUT!$B$18,"Unsaturated","Saturated")</f>
        <v>Saturated</v>
      </c>
      <c r="C39" s="14" t="e">
        <f>_xlfn.IFS(CORET!$A$1=1,RSGLASO(INPUT!$B$16,INPUT!$B$11,INPUT!$B$7,B39,TABEL!A39,INPUT!$B$18),CORET!$A$1=2,RSSTANDING(A39,INPUT!$B$16,INPUT!$B$7,INPUT!$B$11,B39,INPUT!$B$18),CORET!$A$1=3,RSVASCUESS(INPUT!$E$20,A39,INPUT!$B$16,INPUT!$B$7,INPUT!$E$18,INPUT!$E$19,B39,INPUT!$B$18),CORET!$A$1=4,RSLASATER(A39,INPUT!$B$16,INPUT!$B$7,INPUT!$B$11,INPUT!$B$18,B39),CORET!$A$1=5,RSFARSHAD(TABEL!A39,INPUT!$B$18,INPUT!$B$16,INPUT!$B$7,INPUT!$B$11,B39),CORET!$A$1=6,RSKARTO(INPUT!$E$18,INPUT!$E$19,INPUT!$B$16,INPUT!$E$20,A39,INPUT!$B$18,INPUT!$B$7,B39),CORET!$A$1=7,RSMARHOUN(INPUT!$B$11,INPUT!$B$16,INPUT!$B$7,A39,INPUT!$B$18,B39),CORET!$A$1=8,RSHANAFY(A39,INPUT!$B$18,B39),CORET!$A$1=9,RSVELARDE(A39,INPUT!$B$18,INPUT!$B$11,INPUT!$B$16,INPUT!$B$7,B39),CORET!$A$1=10,RSFARSHAD(TABEL!A39,INPUT!$B$18,INPUT!$B$16,INPUT!$B$7,INPUT!$B$11,TABEL!B39))</f>
        <v>#VALUE!</v>
      </c>
      <c r="D39" s="14" t="e">
        <f>_xlfn.IFS(CORET!$G$1=1,standingBO(INPUT!$B$7,INPUT!$B$11,INPUT!$B$16,G39,B39,TABEL!A39,INPUT!$B$18),CORET!$G$1=2,VasquezzBO(INPUT!$B$7,INPUT!$E$20,INPUT!$B$11,INPUT!$B$16,TABEL!G39,TABEL!B39,TABEL!A39,INPUT!$B$18,INPUT!$E$19,INPUT!$E$18),CORET!$G$1=3,GlasoBo(INPUT!$B$11,INPUT!$B$16,INPUT!$B$7,TABEL!A39,B39,INPUT!$B$18,G39),CORET!$G$1=4,FarshadBo(INPUT!$B$11,INPUT!$B$16,INPUT!$B$7,TABEL!A39,INPUT!$B$18,TABEL!G39,TABEL!B39),CORET!$G$1=5,LeblancBo(G39,TABEL!A39,INPUT!$B$18,INPUT!$B$16,INPUT!$B$7,INPUT!$B$11,TABEL!B39),CORET!$G$1=6,MarhounBo(G39,INPUT!$B$11,INPUT!$B$16,INPUT!$B$7,TABEL!A39,INPUT!$B$18,TABEL!B39),CORET!$G$1=7,KartoBo(G39,INPUT!$E$18,INPUT!$E$19,INPUT!$B$16,INPUT!$E$20,TABEL!A39,INPUT!$B$18,INPUT!$B$7,TABEL!B39),CORET!$G$1=8,AlmaedhaidebBo(G39,INPUT!$E$20,TABEL!A39,INPUT!$B$16,INPUT!$B$7,INPUT!$E$18,INPUT!$E$19,TABEL!B39,INPUT!$B$18),CORET!$G$1=9,AlshammasiBo(G39,INPUT!$B$11,INPUT!$E$20,TABEL!A39,INPUT!$B$16,INPUT!$B$7,INPUT!$E$18,INPUT!$E$19,TABEL!B39,INPUT!$B$18),CORET!$G$1=10,SharkawyBo(G39,INPUT!$B$11,INPUT!$E$20,TABEL!A39,INPUT!$B$16,INPUT!$B$7,INPUT!$E$18,INPUT!$E$19,TABEL!B39,INPUT!$B$18),CORET!$G$1=11,OsmanBo(G39,INPUT!$B$11,INPUT!$E$20,TABEL!A39,INPUT!$B$16,INPUT!$B$7,INPUT!$E$18,INPUT!$E$19,TABEL!B39,INPUT!$B$18),CORET!$G$1=12,HanafyBo(G39,TABEL!A39,INPUT!$B$18,B39))</f>
        <v>#VALUE!</v>
      </c>
      <c r="E39" s="14" t="e">
        <f>_xlfn.IFS(CORET!$H$1=1,oildensstandard(INPUT!$B$16,C39,INPUT!$B$11,D39,G39,B39),CORET!$H$1=2,oildenshanafy(INPUT!$B$16,INPUT!$B$11,G39,TABEL!A39,INPUT!$B$18,TABEL!B39),CORET!$H$1=3,oildensstanding(INPUT!$B$16,INPUT!$E$20,INPUT!$B$11,TABEL!A39,INPUT!$B$18,TABEL!B39,G39),CORET!$H$1=4,oildensbalance(INPUT!$B$16,INPUT!$B$11,INPUT!$B$18,C39,G39,A39,INPUT!$B$7,D39,B39))</f>
        <v>#VALUE!</v>
      </c>
      <c r="F39" s="14" t="e">
        <f>_xlfn.IFS(CORET!$I$1=1,OilVisBeggs(INPUT!$B$16,INPUT!$B$7,INPUT!$E$20,INPUT!$E$18,INPUT!$E$19,TABEL!B39,TABEL!A39,INPUT!$B$18),CORET!$I$1=2,OilVisBeal(INPUT!$B$16,INPUT!$B$7,INPUT!$E$20,INPUT!$E$18,INPUT!$E$19,TABEL!B39,TABEL!A39,INPUT!$B$18),CORET!$I$1=3,OilVisEgbogah(INPUT!$E$20,TABEL!A39,INPUT!$B$16,INPUT!$B$7,INPUT!$E$18,INPUT!$E$19,TABEL!B39,INPUT!$B$18),CORET!$I$1=4,OilVisPetro(INPUT!$E$20,TABEL!A39,INPUT!$B$16,INPUT!$B$7,INPUT!$E$18,INPUT!$E$19,B39,INPUT!$B$18),CORET!$I$1=5,OilVisMarhoun(INPUT!$B$11,INPUT!$B$16,INPUT!$B$7,TABEL!A39,INPUT!$B$18,TABEL!B39),CORET!$I$1=6,OilVisAlmae(INPUT!$E$20,INPUT!$B$11,TABEL!A39,INPUT!$B$16,INPUT!$B$7,INPUT!$E$18,INPUT!$E$19,B39,INPUT!$B$18),CORET!$I$1=7,OilVisKhan(INPUT!$E$20,INPUT!$B$11,TABEL!A39,INPUT!$B$16,INPUT!$B$7,INPUT!$E$18,INPUT!$E$19,TABEL!B39,INPUT!$B$18),CORET!$I$1=8,OilVisHanafy(INPUT!$B$16,INPUT!$E$20,INPUT!$B$11,TABEL!A39,INPUT!$B$18,TABEL!B39,G39))</f>
        <v>#VALUE!</v>
      </c>
      <c r="G39" s="14" t="e">
        <f>_xlfn.IFS(CORET!$F$1=1,CoVaquezz(INPUT!$E$20,TABEL!A39,INPUT!$B$16,INPUT!$B$7,INPUT!$E$18,INPUT!$E$19,TABEL!B39,INPUT!$B$18,INPUT!$B$11),CORET!$F$1=2,CoPetrosky(INPUT!$B$11,TABEL!A39,INPUT!$B$16,INPUT!$B$7,TABEL!B39,INPUT!$B$18),CORET!$F$1=3,CoFarshad(INPUT!$E$20,INPUT!$B$11,TABEL!A39,INPUT!$B$16,INPUT!$B$7,INPUT!$E$18,INPUT!$E$19,TABEL!B39,INPUT!$B$18),CORET!$F$1=4,CoAlmehaideb(INPUT!$E$20,TABEL!A39,INPUT!$B$16,INPUT!$B$7,INPUT!$E$18,INPUT!$E$19,TABEL!B39,INPUT!$B$18),CORET!$F$1=5,CoSharkawy(INPUT!$E$20,TABEL!A39,INPUT!$B$16,INPUT!$B$7,INPUT!$E$18,INPUT!$E$19,TABEL!B39,INPUT!$B$18),CORET!$F$1=6,CoKarto(INPUT!$E$20,TABEL!A39,INPUT!$B$16,INPUT!$B$7,INPUT!$E$18,INPUT!$E$19,TABEL!B39,INPUT!$B$18),CORET!$F$1=7,CoAhmed(INPUT!$E$20,TABEL!A39,INPUT!$B$16,INPUT!$B$7,INPUT!$E$18,INPUT!$E$19,TABEL!B39,INPUT!$B$18),CORET!$F$1=8,CoDindoruk(INPUT!$E$20,INPUT!$B$11,TABEL!A39,INPUT!$B$16,INPUT!$B$7,INPUT!$E$18,INPUT!$E$19,B39,INPUT!$B$18),CORET!$F$1=9,CoMcCain(INPUT!$E$20,TABEL!A39,INPUT!$B$16,INPUT!$B$7,INPUT!$E$18,INPUT!$E$19,B39,INPUT!$B$18),CORET!$F$1=10,CoMarhoun(INPUT!$E$20,INPUT!$B$11,TABEL!A39,INPUT!$B$16,INPUT!$B$7,B39,INPUT!$B$18),CORET!$F$1=11,CoCalhoun(INPUT!$E$20,INPUT!$B$11,TABEL!A39,INPUT!$B$16,INPUT!$B$7,INPUT!$E$18,INPUT!$E$19,TABEL!B39,INPUT!$B$18),CORET!$F$1=12,CoLabedi(INPUT!$E$20,INPUT!$B$11,TABEL!A39,INPUT!$B$16,INPUT!$B$7,TABEL!B39,INPUT!$B$18),CORET!$F$1=13,CoDegetto(INPUT!$E$20,INPUT!$B$11,TABEL!A39,INPUT!$B$16,INPUT!$B$7,INPUT!$E$18,INPUT!$E$19,TABEL!B39,INPUT!$B$18))</f>
        <v>#VALUE!</v>
      </c>
      <c r="H39" s="14">
        <f>Bggeneral(INPUT!$B$10,TABEL!A39,INPUT!$B$8,INPUT!$B$7,I39)</f>
        <v>-1.9657803910438348E-2</v>
      </c>
      <c r="I39" s="14">
        <f>_xlfn.IFS(CORET!$E$1=1,ZAbouKassem(A39/OUTPUT!$B$17,(INPUT!$B$7+459.67)/(OUTPUT!$B$16+459.67),150,10^-12),CORET!$E$1=2,ZBeggsbrill(INPUT!$B$7+459.67,TABEL!A39,OUTPUT!$B$16+459.67,OUTPUT!$B$17),CORET!$E$1=3,hall(TABEL!A39,INPUT!$B$7+459.67,OUTPUT!$B$16+459.67,OUTPUT!$B$17),CORET!$E$1=4,zpapay(INPUT!$B$7+459.67,TABEL!A39,OUTPUT!$B$16+459.67,OUTPUT!$B$17))</f>
        <v>1.3050832491601481</v>
      </c>
      <c r="J39" s="14">
        <f>gasdensgeneral(A39,I39,INPUT!$B$7)</f>
        <v>-7.8094219287160538</v>
      </c>
      <c r="K39" s="14">
        <f>_xlfn.IFS(CORET!$J$1=1,ViscGas(TABEL!A39,INPUT!$B$7,INPUT!$B$11,TABEL!I39),CORET!$J$1=2,ViscCarr(TABEL!A39,INPUT!$B$7,INPUT!$B$11,OUTPUT!$B$17,OUTPUT!$B$16,INPUT!$E$15,INPUT!$E$14,INPUT!$E$13),CORET!$J$1=3,VisJossi(TABEL!A39,OUTPUT!$B$17,INPUT!$B$7,OUTPUT!$B$16,I39,INPUT!$B$11),CORET!$J$1=4,VisDean(TABEL!A39,OUTPUT!$B$17,INPUT!$B$7,OUTPUT!$B$16,I39,INPUT!$B$11),CORET!$J$1=5,VisLucas(TABEL!A39,OUTPUT!$B$17,INPUT!$B$7,OUTPUT!$B$16,INPUT!$B$11),CORET!$J$1=6,VisLondono(TABEL!A39,I39,INPUT!$B$7,INPUT!$B$11),CORET!$J$1=7,VisSutton(TABEL!A39,I39,INPUT!$B$7,OUTPUT!$B$16,INPUT!$B$11,OUTPUT!$B$17))</f>
        <v>4.0287225735664307E-3</v>
      </c>
      <c r="L39" s="14">
        <f>_xlfn.IFS(CORET!$K$1=1,CgHall(TABEL!A39,INPUT!$B$7,OUTPUT!$B$16,OUTPUT!$B$17,TABEL!I39),CORET!$K$1=2,CgDranchuk(TABEL!A39,INPUT!$B$7,OUTPUT!$B$16,OUTPUT!$B$17,TABEL!I39))</f>
        <v>-3.3466714320412361E-4</v>
      </c>
      <c r="M39" s="12">
        <f>_xlfn.IFS(CORET!$M$1=1,BWMeehan(TABEL!A39,INPUT!$B$7,CORET!$E$18,INPUT!$E$8),CORET!$M$1=2,BWMCain(TABEL!A39,INPUT!$B$7,TABEL!I39,B39,INPUT!$E$7,INPUT!$B$18,INPUT!$B$10,INPUT!$B$8))</f>
        <v>1.0184733436803093</v>
      </c>
      <c r="N39" s="14">
        <f>RswMcCain(TABEL!A39,INPUT!$B$7,INPUT!$E$7)</f>
        <v>-9.1910911142417646</v>
      </c>
      <c r="O39" s="14">
        <f>Density_Brine(TABEL!A39,INPUT!$B$7,INPUT!$B$18,B39,INPUT!$E$7,TABEL!Q39,INPUT!$E$8)</f>
        <v>61.236752426558176</v>
      </c>
      <c r="P39" s="14">
        <f>_xlfn.IFS(CORET!$L$1=1,ViscBrine(TABEL!A39,INPUT!$B$7,INPUT!$E$7),CORET!$L$1=2,ViscMeehan(TABEL!A39,INPUT!$B$7,INPUT!$E$8),CORET!$L$1=3,ViscKestin(TABEL!A39,INPUT!$B$7,INPUT!$E$7))</f>
        <v>0.47972993992307961</v>
      </c>
      <c r="Q39" s="77">
        <f>_xlfn.IFS(CORET!$N$1=1,CWaterMeehan(TABEL!A39,INPUT!$B$7,CORET!E50,INPUT!$E$8,N39),CORET!$N$1=2,CWater(TABEL!A39,INPUT!$B$7,I39,B39,INPUT!$E$7,INPUT!$B$18,INPUT!$B$10,INPUT!$B$8))</f>
        <v>3.3057944776073387E-5</v>
      </c>
    </row>
    <row r="40" spans="1:17" ht="15.75" thickBot="1">
      <c r="A40" s="13">
        <f>A39-(($A$7-INPUT!$B$10)/36)</f>
        <v>-2388.0916666666667</v>
      </c>
      <c r="B40" s="17" t="str">
        <f>IF(A40&gt;=INPUT!$B$18,"Unsaturated","Saturated")</f>
        <v>Saturated</v>
      </c>
      <c r="C40" s="14" t="e">
        <f>_xlfn.IFS(CORET!$A$1=1,RSGLASO(INPUT!$B$16,INPUT!$B$11,INPUT!$B$7,B40,TABEL!A40,INPUT!$B$18),CORET!$A$1=2,RSSTANDING(A40,INPUT!$B$16,INPUT!$B$7,INPUT!$B$11,B40,INPUT!$B$18),CORET!$A$1=3,RSVASCUESS(INPUT!$E$20,A40,INPUT!$B$16,INPUT!$B$7,INPUT!$E$18,INPUT!$E$19,B40,INPUT!$B$18),CORET!$A$1=4,RSLASATER(A40,INPUT!$B$16,INPUT!$B$7,INPUT!$B$11,INPUT!$B$18,B40),CORET!$A$1=5,RSFARSHAD(TABEL!A40,INPUT!$B$18,INPUT!$B$16,INPUT!$B$7,INPUT!$B$11,B40),CORET!$A$1=6,RSKARTO(INPUT!$E$18,INPUT!$E$19,INPUT!$B$16,INPUT!$E$20,A40,INPUT!$B$18,INPUT!$B$7,B40),CORET!$A$1=7,RSMARHOUN(INPUT!$B$11,INPUT!$B$16,INPUT!$B$7,A40,INPUT!$B$18,B40),CORET!$A$1=8,RSHANAFY(A40,INPUT!$B$18,B40),CORET!$A$1=9,RSVELARDE(A40,INPUT!$B$18,INPUT!$B$11,INPUT!$B$16,INPUT!$B$7,B40),CORET!$A$1=10,RSFARSHAD(TABEL!A40,INPUT!$B$18,INPUT!$B$16,INPUT!$B$7,INPUT!$B$11,TABEL!B40))</f>
        <v>#VALUE!</v>
      </c>
      <c r="D40" s="14" t="e">
        <f>_xlfn.IFS(CORET!$G$1=1,standingBO(INPUT!$B$7,INPUT!$B$11,INPUT!$B$16,G40,B40,TABEL!A40,INPUT!$B$18),CORET!$G$1=2,VasquezzBO(INPUT!$B$7,INPUT!$E$20,INPUT!$B$11,INPUT!$B$16,TABEL!G40,TABEL!B40,TABEL!A40,INPUT!$B$18,INPUT!$E$19,INPUT!$E$18),CORET!$G$1=3,GlasoBo(INPUT!$B$11,INPUT!$B$16,INPUT!$B$7,TABEL!A40,B40,INPUT!$B$18,G40),CORET!$G$1=4,FarshadBo(INPUT!$B$11,INPUT!$B$16,INPUT!$B$7,TABEL!A40,INPUT!$B$18,TABEL!G40,TABEL!B40),CORET!$G$1=5,LeblancBo(G40,TABEL!A40,INPUT!$B$18,INPUT!$B$16,INPUT!$B$7,INPUT!$B$11,TABEL!B40),CORET!$G$1=6,MarhounBo(G40,INPUT!$B$11,INPUT!$B$16,INPUT!$B$7,TABEL!A40,INPUT!$B$18,TABEL!B40),CORET!$G$1=7,KartoBo(G40,INPUT!$E$18,INPUT!$E$19,INPUT!$B$16,INPUT!$E$20,TABEL!A40,INPUT!$B$18,INPUT!$B$7,TABEL!B40),CORET!$G$1=8,AlmaedhaidebBo(G40,INPUT!$E$20,TABEL!A40,INPUT!$B$16,INPUT!$B$7,INPUT!$E$18,INPUT!$E$19,TABEL!B40,INPUT!$B$18),CORET!$G$1=9,AlshammasiBo(G40,INPUT!$B$11,INPUT!$E$20,TABEL!A40,INPUT!$B$16,INPUT!$B$7,INPUT!$E$18,INPUT!$E$19,TABEL!B40,INPUT!$B$18),CORET!$G$1=10,SharkawyBo(G40,INPUT!$B$11,INPUT!$E$20,TABEL!A40,INPUT!$B$16,INPUT!$B$7,INPUT!$E$18,INPUT!$E$19,TABEL!B40,INPUT!$B$18),CORET!$G$1=11,OsmanBo(G40,INPUT!$B$11,INPUT!$E$20,TABEL!A40,INPUT!$B$16,INPUT!$B$7,INPUT!$E$18,INPUT!$E$19,TABEL!B40,INPUT!$B$18),CORET!$G$1=12,HanafyBo(G40,TABEL!A40,INPUT!$B$18,B40))</f>
        <v>#VALUE!</v>
      </c>
      <c r="E40" s="14" t="e">
        <f>_xlfn.IFS(CORET!$H$1=1,oildensstandard(INPUT!$B$16,C40,INPUT!$B$11,D40,G40,B40),CORET!$H$1=2,oildenshanafy(INPUT!$B$16,INPUT!$B$11,G40,TABEL!A40,INPUT!$B$18,TABEL!B40),CORET!$H$1=3,oildensstanding(INPUT!$B$16,INPUT!$E$20,INPUT!$B$11,TABEL!A40,INPUT!$B$18,TABEL!B40,G40),CORET!$H$1=4,oildensbalance(INPUT!$B$16,INPUT!$B$11,INPUT!$B$18,C40,G40,A40,INPUT!$B$7,D40,B40))</f>
        <v>#VALUE!</v>
      </c>
      <c r="F40" s="14" t="e">
        <f>_xlfn.IFS(CORET!$I$1=1,OilVisBeggs(INPUT!$B$16,INPUT!$B$7,INPUT!$E$20,INPUT!$E$18,INPUT!$E$19,TABEL!B40,TABEL!A40,INPUT!$B$18),CORET!$I$1=2,OilVisBeal(INPUT!$B$16,INPUT!$B$7,INPUT!$E$20,INPUT!$E$18,INPUT!$E$19,TABEL!B40,TABEL!A40,INPUT!$B$18),CORET!$I$1=3,OilVisEgbogah(INPUT!$E$20,TABEL!A40,INPUT!$B$16,INPUT!$B$7,INPUT!$E$18,INPUT!$E$19,TABEL!B40,INPUT!$B$18),CORET!$I$1=4,OilVisPetro(INPUT!$E$20,TABEL!A40,INPUT!$B$16,INPUT!$B$7,INPUT!$E$18,INPUT!$E$19,B40,INPUT!$B$18),CORET!$I$1=5,OilVisMarhoun(INPUT!$B$11,INPUT!$B$16,INPUT!$B$7,TABEL!A40,INPUT!$B$18,TABEL!B40),CORET!$I$1=6,OilVisAlmae(INPUT!$E$20,INPUT!$B$11,TABEL!A40,INPUT!$B$16,INPUT!$B$7,INPUT!$E$18,INPUT!$E$19,B40,INPUT!$B$18),CORET!$I$1=7,OilVisKhan(INPUT!$E$20,INPUT!$B$11,TABEL!A40,INPUT!$B$16,INPUT!$B$7,INPUT!$E$18,INPUT!$E$19,TABEL!B40,INPUT!$B$18),CORET!$I$1=8,OilVisHanafy(INPUT!$B$16,INPUT!$E$20,INPUT!$B$11,TABEL!A40,INPUT!$B$18,TABEL!B40,G40))</f>
        <v>#VALUE!</v>
      </c>
      <c r="G40" s="14" t="e">
        <f>_xlfn.IFS(CORET!$F$1=1,CoVaquezz(INPUT!$E$20,TABEL!A40,INPUT!$B$16,INPUT!$B$7,INPUT!$E$18,INPUT!$E$19,TABEL!B40,INPUT!$B$18,INPUT!$B$11),CORET!$F$1=2,CoPetrosky(INPUT!$B$11,TABEL!A40,INPUT!$B$16,INPUT!$B$7,TABEL!B40,INPUT!$B$18),CORET!$F$1=3,CoFarshad(INPUT!$E$20,INPUT!$B$11,TABEL!A40,INPUT!$B$16,INPUT!$B$7,INPUT!$E$18,INPUT!$E$19,TABEL!B40,INPUT!$B$18),CORET!$F$1=4,CoAlmehaideb(INPUT!$E$20,TABEL!A40,INPUT!$B$16,INPUT!$B$7,INPUT!$E$18,INPUT!$E$19,TABEL!B40,INPUT!$B$18),CORET!$F$1=5,CoSharkawy(INPUT!$E$20,TABEL!A40,INPUT!$B$16,INPUT!$B$7,INPUT!$E$18,INPUT!$E$19,TABEL!B40,INPUT!$B$18),CORET!$F$1=6,CoKarto(INPUT!$E$20,TABEL!A40,INPUT!$B$16,INPUT!$B$7,INPUT!$E$18,INPUT!$E$19,TABEL!B40,INPUT!$B$18),CORET!$F$1=7,CoAhmed(INPUT!$E$20,TABEL!A40,INPUT!$B$16,INPUT!$B$7,INPUT!$E$18,INPUT!$E$19,TABEL!B40,INPUT!$B$18),CORET!$F$1=8,CoDindoruk(INPUT!$E$20,INPUT!$B$11,TABEL!A40,INPUT!$B$16,INPUT!$B$7,INPUT!$E$18,INPUT!$E$19,B40,INPUT!$B$18),CORET!$F$1=9,CoMcCain(INPUT!$E$20,TABEL!A40,INPUT!$B$16,INPUT!$B$7,INPUT!$E$18,INPUT!$E$19,B40,INPUT!$B$18),CORET!$F$1=10,CoMarhoun(INPUT!$E$20,INPUT!$B$11,TABEL!A40,INPUT!$B$16,INPUT!$B$7,B40,INPUT!$B$18),CORET!$F$1=11,CoCalhoun(INPUT!$E$20,INPUT!$B$11,TABEL!A40,INPUT!$B$16,INPUT!$B$7,INPUT!$E$18,INPUT!$E$19,TABEL!B40,INPUT!$B$18),CORET!$F$1=12,CoLabedi(INPUT!$E$20,INPUT!$B$11,TABEL!A40,INPUT!$B$16,INPUT!$B$7,TABEL!B40,INPUT!$B$18),CORET!$F$1=13,CoDegetto(INPUT!$E$20,INPUT!$B$11,TABEL!A40,INPUT!$B$16,INPUT!$B$7,INPUT!$E$18,INPUT!$E$19,TABEL!B40,INPUT!$B$18))</f>
        <v>#VALUE!</v>
      </c>
      <c r="H40" s="14">
        <f>Bggeneral(INPUT!$B$10,TABEL!A40,INPUT!$B$8,INPUT!$B$7,I40)</f>
        <v>-1.876655446126748E-2</v>
      </c>
      <c r="I40" s="14">
        <f>_xlfn.IFS(CORET!$E$1=1,ZAbouKassem(A40/OUTPUT!$B$17,(INPUT!$B$7+459.67)/(OUTPUT!$B$16+459.67),150,10^-12),CORET!$E$1=2,ZBeggsbrill(INPUT!$B$7+459.67,TABEL!A40,OUTPUT!$B$16+459.67,OUTPUT!$B$17),CORET!$E$1=3,hall(TABEL!A40,INPUT!$B$7+459.67,OUTPUT!$B$16+459.67,OUTPUT!$B$17),CORET!$E$1=4,zpapay(INPUT!$B$7+459.67,TABEL!A40,OUTPUT!$B$16+459.67,OUTPUT!$B$17))</f>
        <v>1.3226084868642169</v>
      </c>
      <c r="J40" s="14">
        <f>gasdensgeneral(A40,I40,INPUT!$B$7)</f>
        <v>-8.1803021031602334</v>
      </c>
      <c r="K40" s="14">
        <f>_xlfn.IFS(CORET!$J$1=1,ViscGas(TABEL!A40,INPUT!$B$7,INPUT!$B$11,TABEL!I40),CORET!$J$1=2,ViscCarr(TABEL!A40,INPUT!$B$7,INPUT!$B$11,OUTPUT!$B$17,OUTPUT!$B$16,INPUT!$E$15,INPUT!$E$14,INPUT!$E$13),CORET!$J$1=3,VisJossi(TABEL!A40,OUTPUT!$B$17,INPUT!$B$7,OUTPUT!$B$16,I40,INPUT!$B$11),CORET!$J$1=4,VisDean(TABEL!A40,OUTPUT!$B$17,INPUT!$B$7,OUTPUT!$B$16,I40,INPUT!$B$11),CORET!$J$1=5,VisLucas(TABEL!A40,OUTPUT!$B$17,INPUT!$B$7,OUTPUT!$B$16,INPUT!$B$11),CORET!$J$1=6,VisLondono(TABEL!A40,I40,INPUT!$B$7,INPUT!$B$11),CORET!$J$1=7,VisSutton(TABEL!A40,I40,INPUT!$B$7,OUTPUT!$B$16,INPUT!$B$11,OUTPUT!$B$17))</f>
        <v>3.7813544942400085E-3</v>
      </c>
      <c r="L40" s="14">
        <f>_xlfn.IFS(CORET!$K$1=1,CgHall(TABEL!A40,INPUT!$B$7,OUTPUT!$B$16,OUTPUT!$B$17,TABEL!I40),CORET!$K$1=2,CgDranchuk(TABEL!A40,INPUT!$B$7,OUTPUT!$B$16,OUTPUT!$B$17,TABEL!I40))</f>
        <v>-3.1121758691636222E-4</v>
      </c>
      <c r="M40" s="12">
        <f>_xlfn.IFS(CORET!$M$1=1,BWMeehan(TABEL!A40,INPUT!$B$7,CORET!$E$18,INPUT!$E$8),CORET!$M$1=2,BWMCain(TABEL!A40,INPUT!$B$7,TABEL!I40,B40,INPUT!$E$7,INPUT!$B$18,INPUT!$B$10,INPUT!$B$8))</f>
        <v>1.0183986682718311</v>
      </c>
      <c r="N40" s="14">
        <f>RswMcCain(TABEL!A40,INPUT!$B$7,INPUT!$E$7)</f>
        <v>-9.9979813648785498</v>
      </c>
      <c r="O40" s="14">
        <f>Density_Brine(TABEL!A40,INPUT!$B$7,INPUT!$B$18,B40,INPUT!$E$7,TABEL!Q40,INPUT!$E$8)</f>
        <v>61.241242691170456</v>
      </c>
      <c r="P40" s="14">
        <f>_xlfn.IFS(CORET!$L$1=1,ViscBrine(TABEL!A40,INPUT!$B$7,INPUT!$E$7),CORET!$L$1=2,ViscMeehan(TABEL!A40,INPUT!$B$7,INPUT!$E$8),CORET!$L$1=3,ViscKestin(TABEL!A40,INPUT!$B$7,INPUT!$E$7))</f>
        <v>0.47952802907639164</v>
      </c>
      <c r="Q40" s="77">
        <f>_xlfn.IFS(CORET!$N$1=1,CWaterMeehan(TABEL!A40,INPUT!$B$7,CORET!E51,INPUT!$E$8,N40),CORET!$N$1=2,CWater(TABEL!A40,INPUT!$B$7,I40,B40,INPUT!$E$7,INPUT!$B$18,INPUT!$B$10,INPUT!$B$8))</f>
        <v>3.3172215583088436E-5</v>
      </c>
    </row>
    <row r="41" spans="1:17" ht="15.75" thickBot="1">
      <c r="A41" s="13">
        <f>A40-(($A$7-INPUT!$B$10)/36)</f>
        <v>-2526.5722222222221</v>
      </c>
      <c r="B41" s="17" t="str">
        <f>IF(A41&gt;=INPUT!$B$18,"Unsaturated","Saturated")</f>
        <v>Saturated</v>
      </c>
      <c r="C41" s="14" t="e">
        <f>_xlfn.IFS(CORET!$A$1=1,RSGLASO(INPUT!$B$16,INPUT!$B$11,INPUT!$B$7,B41,TABEL!A41,INPUT!$B$18),CORET!$A$1=2,RSSTANDING(A41,INPUT!$B$16,INPUT!$B$7,INPUT!$B$11,B41,INPUT!$B$18),CORET!$A$1=3,RSVASCUESS(INPUT!$E$20,A41,INPUT!$B$16,INPUT!$B$7,INPUT!$E$18,INPUT!$E$19,B41,INPUT!$B$18),CORET!$A$1=4,RSLASATER(A41,INPUT!$B$16,INPUT!$B$7,INPUT!$B$11,INPUT!$B$18,B41),CORET!$A$1=5,RSFARSHAD(TABEL!A41,INPUT!$B$18,INPUT!$B$16,INPUT!$B$7,INPUT!$B$11,B41),CORET!$A$1=6,RSKARTO(INPUT!$E$18,INPUT!$E$19,INPUT!$B$16,INPUT!$E$20,A41,INPUT!$B$18,INPUT!$B$7,B41),CORET!$A$1=7,RSMARHOUN(INPUT!$B$11,INPUT!$B$16,INPUT!$B$7,A41,INPUT!$B$18,B41),CORET!$A$1=8,RSHANAFY(A41,INPUT!$B$18,B41),CORET!$A$1=9,RSVELARDE(A41,INPUT!$B$18,INPUT!$B$11,INPUT!$B$16,INPUT!$B$7,B41),CORET!$A$1=10,RSFARSHAD(TABEL!A41,INPUT!$B$18,INPUT!$B$16,INPUT!$B$7,INPUT!$B$11,TABEL!B41))</f>
        <v>#VALUE!</v>
      </c>
      <c r="D41" s="14" t="e">
        <f>_xlfn.IFS(CORET!$G$1=1,standingBO(INPUT!$B$7,INPUT!$B$11,INPUT!$B$16,G41,B41,TABEL!A41,INPUT!$B$18),CORET!$G$1=2,VasquezzBO(INPUT!$B$7,INPUT!$E$20,INPUT!$B$11,INPUT!$B$16,TABEL!G41,TABEL!B41,TABEL!A41,INPUT!$B$18,INPUT!$E$19,INPUT!$E$18),CORET!$G$1=3,GlasoBo(INPUT!$B$11,INPUT!$B$16,INPUT!$B$7,TABEL!A41,B41,INPUT!$B$18,G41),CORET!$G$1=4,FarshadBo(INPUT!$B$11,INPUT!$B$16,INPUT!$B$7,TABEL!A41,INPUT!$B$18,TABEL!G41,TABEL!B41),CORET!$G$1=5,LeblancBo(G41,TABEL!A41,INPUT!$B$18,INPUT!$B$16,INPUT!$B$7,INPUT!$B$11,TABEL!B41),CORET!$G$1=6,MarhounBo(G41,INPUT!$B$11,INPUT!$B$16,INPUT!$B$7,TABEL!A41,INPUT!$B$18,TABEL!B41),CORET!$G$1=7,KartoBo(G41,INPUT!$E$18,INPUT!$E$19,INPUT!$B$16,INPUT!$E$20,TABEL!A41,INPUT!$B$18,INPUT!$B$7,TABEL!B41),CORET!$G$1=8,AlmaedhaidebBo(G41,INPUT!$E$20,TABEL!A41,INPUT!$B$16,INPUT!$B$7,INPUT!$E$18,INPUT!$E$19,TABEL!B41,INPUT!$B$18),CORET!$G$1=9,AlshammasiBo(G41,INPUT!$B$11,INPUT!$E$20,TABEL!A41,INPUT!$B$16,INPUT!$B$7,INPUT!$E$18,INPUT!$E$19,TABEL!B41,INPUT!$B$18),CORET!$G$1=10,SharkawyBo(G41,INPUT!$B$11,INPUT!$E$20,TABEL!A41,INPUT!$B$16,INPUT!$B$7,INPUT!$E$18,INPUT!$E$19,TABEL!B41,INPUT!$B$18),CORET!$G$1=11,OsmanBo(G41,INPUT!$B$11,INPUT!$E$20,TABEL!A41,INPUT!$B$16,INPUT!$B$7,INPUT!$E$18,INPUT!$E$19,TABEL!B41,INPUT!$B$18),CORET!$G$1=12,HanafyBo(G41,TABEL!A41,INPUT!$B$18,B41))</f>
        <v>#VALUE!</v>
      </c>
      <c r="E41" s="14" t="e">
        <f>_xlfn.IFS(CORET!$H$1=1,oildensstandard(INPUT!$B$16,C41,INPUT!$B$11,D41,G41,B41),CORET!$H$1=2,oildenshanafy(INPUT!$B$16,INPUT!$B$11,G41,TABEL!A41,INPUT!$B$18,TABEL!B41),CORET!$H$1=3,oildensstanding(INPUT!$B$16,INPUT!$E$20,INPUT!$B$11,TABEL!A41,INPUT!$B$18,TABEL!B41,G41),CORET!$H$1=4,oildensbalance(INPUT!$B$16,INPUT!$B$11,INPUT!$B$18,C41,G41,A41,INPUT!$B$7,D41,B41))</f>
        <v>#VALUE!</v>
      </c>
      <c r="F41" s="14" t="e">
        <f>_xlfn.IFS(CORET!$I$1=1,OilVisBeggs(INPUT!$B$16,INPUT!$B$7,INPUT!$E$20,INPUT!$E$18,INPUT!$E$19,TABEL!B41,TABEL!A41,INPUT!$B$18),CORET!$I$1=2,OilVisBeal(INPUT!$B$16,INPUT!$B$7,INPUT!$E$20,INPUT!$E$18,INPUT!$E$19,TABEL!B41,TABEL!A41,INPUT!$B$18),CORET!$I$1=3,OilVisEgbogah(INPUT!$E$20,TABEL!A41,INPUT!$B$16,INPUT!$B$7,INPUT!$E$18,INPUT!$E$19,TABEL!B41,INPUT!$B$18),CORET!$I$1=4,OilVisPetro(INPUT!$E$20,TABEL!A41,INPUT!$B$16,INPUT!$B$7,INPUT!$E$18,INPUT!$E$19,B41,INPUT!$B$18),CORET!$I$1=5,OilVisMarhoun(INPUT!$B$11,INPUT!$B$16,INPUT!$B$7,TABEL!A41,INPUT!$B$18,TABEL!B41),CORET!$I$1=6,OilVisAlmae(INPUT!$E$20,INPUT!$B$11,TABEL!A41,INPUT!$B$16,INPUT!$B$7,INPUT!$E$18,INPUT!$E$19,B41,INPUT!$B$18),CORET!$I$1=7,OilVisKhan(INPUT!$E$20,INPUT!$B$11,TABEL!A41,INPUT!$B$16,INPUT!$B$7,INPUT!$E$18,INPUT!$E$19,TABEL!B41,INPUT!$B$18),CORET!$I$1=8,OilVisHanafy(INPUT!$B$16,INPUT!$E$20,INPUT!$B$11,TABEL!A41,INPUT!$B$18,TABEL!B41,G41))</f>
        <v>#VALUE!</v>
      </c>
      <c r="G41" s="14" t="e">
        <f>_xlfn.IFS(CORET!$F$1=1,CoVaquezz(INPUT!$E$20,TABEL!A41,INPUT!$B$16,INPUT!$B$7,INPUT!$E$18,INPUT!$E$19,TABEL!B41,INPUT!$B$18,INPUT!$B$11),CORET!$F$1=2,CoPetrosky(INPUT!$B$11,TABEL!A41,INPUT!$B$16,INPUT!$B$7,TABEL!B41,INPUT!$B$18),CORET!$F$1=3,CoFarshad(INPUT!$E$20,INPUT!$B$11,TABEL!A41,INPUT!$B$16,INPUT!$B$7,INPUT!$E$18,INPUT!$E$19,TABEL!B41,INPUT!$B$18),CORET!$F$1=4,CoAlmehaideb(INPUT!$E$20,TABEL!A41,INPUT!$B$16,INPUT!$B$7,INPUT!$E$18,INPUT!$E$19,TABEL!B41,INPUT!$B$18),CORET!$F$1=5,CoSharkawy(INPUT!$E$20,TABEL!A41,INPUT!$B$16,INPUT!$B$7,INPUT!$E$18,INPUT!$E$19,TABEL!B41,INPUT!$B$18),CORET!$F$1=6,CoKarto(INPUT!$E$20,TABEL!A41,INPUT!$B$16,INPUT!$B$7,INPUT!$E$18,INPUT!$E$19,TABEL!B41,INPUT!$B$18),CORET!$F$1=7,CoAhmed(INPUT!$E$20,TABEL!A41,INPUT!$B$16,INPUT!$B$7,INPUT!$E$18,INPUT!$E$19,TABEL!B41,INPUT!$B$18),CORET!$F$1=8,CoDindoruk(INPUT!$E$20,INPUT!$B$11,TABEL!A41,INPUT!$B$16,INPUT!$B$7,INPUT!$E$18,INPUT!$E$19,B41,INPUT!$B$18),CORET!$F$1=9,CoMcCain(INPUT!$E$20,TABEL!A41,INPUT!$B$16,INPUT!$B$7,INPUT!$E$18,INPUT!$E$19,B41,INPUT!$B$18),CORET!$F$1=10,CoMarhoun(INPUT!$E$20,INPUT!$B$11,TABEL!A41,INPUT!$B$16,INPUT!$B$7,B41,INPUT!$B$18),CORET!$F$1=11,CoCalhoun(INPUT!$E$20,INPUT!$B$11,TABEL!A41,INPUT!$B$16,INPUT!$B$7,INPUT!$E$18,INPUT!$E$19,TABEL!B41,INPUT!$B$18),CORET!$F$1=12,CoLabedi(INPUT!$E$20,INPUT!$B$11,TABEL!A41,INPUT!$B$16,INPUT!$B$7,TABEL!B41,INPUT!$B$18),CORET!$F$1=13,CoDegetto(INPUT!$E$20,INPUT!$B$11,TABEL!A41,INPUT!$B$16,INPUT!$B$7,INPUT!$E$18,INPUT!$E$19,TABEL!B41,INPUT!$B$18))</f>
        <v>#VALUE!</v>
      </c>
      <c r="H41" s="14">
        <f>Bggeneral(INPUT!$B$10,TABEL!A41,INPUT!$B$8,INPUT!$B$7,I41)</f>
        <v>-1.7970552868384247E-2</v>
      </c>
      <c r="I41" s="14">
        <f>_xlfn.IFS(CORET!$E$1=1,ZAbouKassem(A41/OUTPUT!$B$17,(INPUT!$B$7+459.67)/(OUTPUT!$B$16+459.67),150,10^-12),CORET!$E$1=2,ZBeggsbrill(INPUT!$B$7+459.67,TABEL!A41,OUTPUT!$B$16+459.67,OUTPUT!$B$17),CORET!$E$1=3,hall(TABEL!A41,INPUT!$B$7+459.67,OUTPUT!$B$16+459.67,OUTPUT!$B$17),CORET!$E$1=4,zpapay(INPUT!$B$7+459.67,TABEL!A41,OUTPUT!$B$16+459.67,OUTPUT!$B$17))</f>
        <v>1.3399510214180148</v>
      </c>
      <c r="J41" s="14">
        <f>gasdensgeneral(A41,I41,INPUT!$B$7)</f>
        <v>-8.542646742864525</v>
      </c>
      <c r="K41" s="14">
        <f>_xlfn.IFS(CORET!$J$1=1,ViscGas(TABEL!A41,INPUT!$B$7,INPUT!$B$11,TABEL!I41),CORET!$J$1=2,ViscCarr(TABEL!A41,INPUT!$B$7,INPUT!$B$11,OUTPUT!$B$17,OUTPUT!$B$16,INPUT!$E$15,INPUT!$E$14,INPUT!$E$13),CORET!$J$1=3,VisJossi(TABEL!A41,OUTPUT!$B$17,INPUT!$B$7,OUTPUT!$B$16,I41,INPUT!$B$11),CORET!$J$1=4,VisDean(TABEL!A41,OUTPUT!$B$17,INPUT!$B$7,OUTPUT!$B$16,I41,INPUT!$B$11),CORET!$J$1=5,VisLucas(TABEL!A41,OUTPUT!$B$17,INPUT!$B$7,OUTPUT!$B$16,INPUT!$B$11),CORET!$J$1=6,VisLondono(TABEL!A41,I41,INPUT!$B$7,INPUT!$B$11),CORET!$J$1=7,VisSutton(TABEL!A41,I41,INPUT!$B$7,OUTPUT!$B$16,INPUT!$B$11,OUTPUT!$B$17))</f>
        <v>3.5450379310756107E-3</v>
      </c>
      <c r="L41" s="14">
        <f>_xlfn.IFS(CORET!$K$1=1,CgHall(TABEL!A41,INPUT!$B$7,OUTPUT!$B$16,OUTPUT!$B$17,TABEL!I41),CORET!$K$1=2,CgDranchuk(TABEL!A41,INPUT!$B$7,OUTPUT!$B$16,OUTPUT!$B$17,TABEL!I41))</f>
        <v>-2.9054849188709064E-4</v>
      </c>
      <c r="M41" s="12">
        <f>_xlfn.IFS(CORET!$M$1=1,BWMeehan(TABEL!A41,INPUT!$B$7,CORET!$E$18,INPUT!$E$8),CORET!$M$1=2,BWMCain(TABEL!A41,INPUT!$B$7,TABEL!I41,B41,INPUT!$E$7,INPUT!$B$18,INPUT!$B$10,INPUT!$B$8))</f>
        <v>1.0183142737772211</v>
      </c>
      <c r="N41" s="14">
        <f>RswMcCain(TABEL!A41,INPUT!$B$7,INPUT!$E$7)</f>
        <v>-10.812617075480365</v>
      </c>
      <c r="O41" s="14">
        <f>Density_Brine(TABEL!A41,INPUT!$B$7,INPUT!$B$18,B41,INPUT!$E$7,TABEL!Q41,INPUT!$E$8)</f>
        <v>61.246318161346316</v>
      </c>
      <c r="P41" s="14">
        <f>_xlfn.IFS(CORET!$L$1=1,ViscBrine(TABEL!A41,INPUT!$B$7,INPUT!$E$7),CORET!$L$1=2,ViscMeehan(TABEL!A41,INPUT!$B$7,INPUT!$E$8),CORET!$L$1=3,ViscKestin(TABEL!A41,INPUT!$B$7,INPUT!$E$7))</f>
        <v>0.47932611822970378</v>
      </c>
      <c r="Q41" s="77">
        <f>_xlfn.IFS(CORET!$N$1=1,CWaterMeehan(TABEL!A41,INPUT!$B$7,CORET!E52,INPUT!$E$8,N41),CORET!$N$1=2,CWater(TABEL!A41,INPUT!$B$7,I41,B41,INPUT!$E$7,INPUT!$B$18,INPUT!$B$10,INPUT!$B$8))</f>
        <v>3.3286441233370797E-5</v>
      </c>
    </row>
    <row r="42" spans="1:17" ht="15.75" thickBot="1">
      <c r="A42" s="13">
        <f>A41-(($A$7-INPUT!$B$10)/36)</f>
        <v>-2665.0527777777775</v>
      </c>
      <c r="B42" s="17" t="str">
        <f>IF(A42&gt;=INPUT!$B$18,"Unsaturated","Saturated")</f>
        <v>Saturated</v>
      </c>
      <c r="C42" s="14" t="e">
        <f>_xlfn.IFS(CORET!$A$1=1,RSGLASO(INPUT!$B$16,INPUT!$B$11,INPUT!$B$7,B42,TABEL!A42,INPUT!$B$18),CORET!$A$1=2,RSSTANDING(A42,INPUT!$B$16,INPUT!$B$7,INPUT!$B$11,B42,INPUT!$B$18),CORET!$A$1=3,RSVASCUESS(INPUT!$E$20,A42,INPUT!$B$16,INPUT!$B$7,INPUT!$E$18,INPUT!$E$19,B42,INPUT!$B$18),CORET!$A$1=4,RSLASATER(A42,INPUT!$B$16,INPUT!$B$7,INPUT!$B$11,INPUT!$B$18,B42),CORET!$A$1=5,RSFARSHAD(TABEL!A42,INPUT!$B$18,INPUT!$B$16,INPUT!$B$7,INPUT!$B$11,B42),CORET!$A$1=6,RSKARTO(INPUT!$E$18,INPUT!$E$19,INPUT!$B$16,INPUT!$E$20,A42,INPUT!$B$18,INPUT!$B$7,B42),CORET!$A$1=7,RSMARHOUN(INPUT!$B$11,INPUT!$B$16,INPUT!$B$7,A42,INPUT!$B$18,B42),CORET!$A$1=8,RSHANAFY(A42,INPUT!$B$18,B42),CORET!$A$1=9,RSVELARDE(A42,INPUT!$B$18,INPUT!$B$11,INPUT!$B$16,INPUT!$B$7,B42),CORET!$A$1=10,RSFARSHAD(TABEL!A42,INPUT!$B$18,INPUT!$B$16,INPUT!$B$7,INPUT!$B$11,TABEL!B42))</f>
        <v>#VALUE!</v>
      </c>
      <c r="D42" s="14" t="e">
        <f>_xlfn.IFS(CORET!$G$1=1,standingBO(INPUT!$B$7,INPUT!$B$11,INPUT!$B$16,G42,B42,TABEL!A42,INPUT!$B$18),CORET!$G$1=2,VasquezzBO(INPUT!$B$7,INPUT!$E$20,INPUT!$B$11,INPUT!$B$16,TABEL!G42,TABEL!B42,TABEL!A42,INPUT!$B$18,INPUT!$E$19,INPUT!$E$18),CORET!$G$1=3,GlasoBo(INPUT!$B$11,INPUT!$B$16,INPUT!$B$7,TABEL!A42,B42,INPUT!$B$18,G42),CORET!$G$1=4,FarshadBo(INPUT!$B$11,INPUT!$B$16,INPUT!$B$7,TABEL!A42,INPUT!$B$18,TABEL!G42,TABEL!B42),CORET!$G$1=5,LeblancBo(G42,TABEL!A42,INPUT!$B$18,INPUT!$B$16,INPUT!$B$7,INPUT!$B$11,TABEL!B42),CORET!$G$1=6,MarhounBo(G42,INPUT!$B$11,INPUT!$B$16,INPUT!$B$7,TABEL!A42,INPUT!$B$18,TABEL!B42),CORET!$G$1=7,KartoBo(G42,INPUT!$E$18,INPUT!$E$19,INPUT!$B$16,INPUT!$E$20,TABEL!A42,INPUT!$B$18,INPUT!$B$7,TABEL!B42),CORET!$G$1=8,AlmaedhaidebBo(G42,INPUT!$E$20,TABEL!A42,INPUT!$B$16,INPUT!$B$7,INPUT!$E$18,INPUT!$E$19,TABEL!B42,INPUT!$B$18),CORET!$G$1=9,AlshammasiBo(G42,INPUT!$B$11,INPUT!$E$20,TABEL!A42,INPUT!$B$16,INPUT!$B$7,INPUT!$E$18,INPUT!$E$19,TABEL!B42,INPUT!$B$18),CORET!$G$1=10,SharkawyBo(G42,INPUT!$B$11,INPUT!$E$20,TABEL!A42,INPUT!$B$16,INPUT!$B$7,INPUT!$E$18,INPUT!$E$19,TABEL!B42,INPUT!$B$18),CORET!$G$1=11,OsmanBo(G42,INPUT!$B$11,INPUT!$E$20,TABEL!A42,INPUT!$B$16,INPUT!$B$7,INPUT!$E$18,INPUT!$E$19,TABEL!B42,INPUT!$B$18),CORET!$G$1=12,HanafyBo(G42,TABEL!A42,INPUT!$B$18,B42))</f>
        <v>#VALUE!</v>
      </c>
      <c r="E42" s="14" t="e">
        <f>_xlfn.IFS(CORET!$H$1=1,oildensstandard(INPUT!$B$16,C42,INPUT!$B$11,D42,G42,B42),CORET!$H$1=2,oildenshanafy(INPUT!$B$16,INPUT!$B$11,G42,TABEL!A42,INPUT!$B$18,TABEL!B42),CORET!$H$1=3,oildensstanding(INPUT!$B$16,INPUT!$E$20,INPUT!$B$11,TABEL!A42,INPUT!$B$18,TABEL!B42,G42),CORET!$H$1=4,oildensbalance(INPUT!$B$16,INPUT!$B$11,INPUT!$B$18,C42,G42,A42,INPUT!$B$7,D42,B42))</f>
        <v>#VALUE!</v>
      </c>
      <c r="F42" s="14" t="e">
        <f>_xlfn.IFS(CORET!$I$1=1,OilVisBeggs(INPUT!$B$16,INPUT!$B$7,INPUT!$E$20,INPUT!$E$18,INPUT!$E$19,TABEL!B42,TABEL!A42,INPUT!$B$18),CORET!$I$1=2,OilVisBeal(INPUT!$B$16,INPUT!$B$7,INPUT!$E$20,INPUT!$E$18,INPUT!$E$19,TABEL!B42,TABEL!A42,INPUT!$B$18),CORET!$I$1=3,OilVisEgbogah(INPUT!$E$20,TABEL!A42,INPUT!$B$16,INPUT!$B$7,INPUT!$E$18,INPUT!$E$19,TABEL!B42,INPUT!$B$18),CORET!$I$1=4,OilVisPetro(INPUT!$E$20,TABEL!A42,INPUT!$B$16,INPUT!$B$7,INPUT!$E$18,INPUT!$E$19,B42,INPUT!$B$18),CORET!$I$1=5,OilVisMarhoun(INPUT!$B$11,INPUT!$B$16,INPUT!$B$7,TABEL!A42,INPUT!$B$18,TABEL!B42),CORET!$I$1=6,OilVisAlmae(INPUT!$E$20,INPUT!$B$11,TABEL!A42,INPUT!$B$16,INPUT!$B$7,INPUT!$E$18,INPUT!$E$19,B42,INPUT!$B$18),CORET!$I$1=7,OilVisKhan(INPUT!$E$20,INPUT!$B$11,TABEL!A42,INPUT!$B$16,INPUT!$B$7,INPUT!$E$18,INPUT!$E$19,TABEL!B42,INPUT!$B$18),CORET!$I$1=8,OilVisHanafy(INPUT!$B$16,INPUT!$E$20,INPUT!$B$11,TABEL!A42,INPUT!$B$18,TABEL!B42,G42))</f>
        <v>#VALUE!</v>
      </c>
      <c r="G42" s="14" t="e">
        <f>_xlfn.IFS(CORET!$F$1=1,CoVaquezz(INPUT!$E$20,TABEL!A42,INPUT!$B$16,INPUT!$B$7,INPUT!$E$18,INPUT!$E$19,TABEL!B42,INPUT!$B$18,INPUT!$B$11),CORET!$F$1=2,CoPetrosky(INPUT!$B$11,TABEL!A42,INPUT!$B$16,INPUT!$B$7,TABEL!B42,INPUT!$B$18),CORET!$F$1=3,CoFarshad(INPUT!$E$20,INPUT!$B$11,TABEL!A42,INPUT!$B$16,INPUT!$B$7,INPUT!$E$18,INPUT!$E$19,TABEL!B42,INPUT!$B$18),CORET!$F$1=4,CoAlmehaideb(INPUT!$E$20,TABEL!A42,INPUT!$B$16,INPUT!$B$7,INPUT!$E$18,INPUT!$E$19,TABEL!B42,INPUT!$B$18),CORET!$F$1=5,CoSharkawy(INPUT!$E$20,TABEL!A42,INPUT!$B$16,INPUT!$B$7,INPUT!$E$18,INPUT!$E$19,TABEL!B42,INPUT!$B$18),CORET!$F$1=6,CoKarto(INPUT!$E$20,TABEL!A42,INPUT!$B$16,INPUT!$B$7,INPUT!$E$18,INPUT!$E$19,TABEL!B42,INPUT!$B$18),CORET!$F$1=7,CoAhmed(INPUT!$E$20,TABEL!A42,INPUT!$B$16,INPUT!$B$7,INPUT!$E$18,INPUT!$E$19,TABEL!B42,INPUT!$B$18),CORET!$F$1=8,CoDindoruk(INPUT!$E$20,INPUT!$B$11,TABEL!A42,INPUT!$B$16,INPUT!$B$7,INPUT!$E$18,INPUT!$E$19,B42,INPUT!$B$18),CORET!$F$1=9,CoMcCain(INPUT!$E$20,TABEL!A42,INPUT!$B$16,INPUT!$B$7,INPUT!$E$18,INPUT!$E$19,B42,INPUT!$B$18),CORET!$F$1=10,CoMarhoun(INPUT!$E$20,INPUT!$B$11,TABEL!A42,INPUT!$B$16,INPUT!$B$7,B42,INPUT!$B$18),CORET!$F$1=11,CoCalhoun(INPUT!$E$20,INPUT!$B$11,TABEL!A42,INPUT!$B$16,INPUT!$B$7,INPUT!$E$18,INPUT!$E$19,TABEL!B42,INPUT!$B$18),CORET!$F$1=12,CoLabedi(INPUT!$E$20,INPUT!$B$11,TABEL!A42,INPUT!$B$16,INPUT!$B$7,TABEL!B42,INPUT!$B$18),CORET!$F$1=13,CoDegetto(INPUT!$E$20,INPUT!$B$11,TABEL!A42,INPUT!$B$16,INPUT!$B$7,INPUT!$E$18,INPUT!$E$19,TABEL!B42,INPUT!$B$18))</f>
        <v>#VALUE!</v>
      </c>
      <c r="H42" s="14">
        <f>Bggeneral(INPUT!$B$10,TABEL!A42,INPUT!$B$8,INPUT!$B$7,I42)</f>
        <v>-1.7254928879997578E-2</v>
      </c>
      <c r="I42" s="14">
        <f>_xlfn.IFS(CORET!$E$1=1,ZAbouKassem(A42/OUTPUT!$B$17,(INPUT!$B$7+459.67)/(OUTPUT!$B$16+459.67),150,10^-12),CORET!$E$1=2,ZBeggsbrill(INPUT!$B$7+459.67,TABEL!A42,OUTPUT!$B$16+459.67,OUTPUT!$B$17),CORET!$E$1=3,hall(TABEL!A42,INPUT!$B$7+459.67,OUTPUT!$B$16+459.67,OUTPUT!$B$17),CORET!$E$1=4,zpapay(INPUT!$B$7+459.67,TABEL!A42,OUTPUT!$B$16+459.67,OUTPUT!$B$17))</f>
        <v>1.3571090798207968</v>
      </c>
      <c r="J42" s="14">
        <f>gasdensgeneral(A42,I42,INPUT!$B$7)</f>
        <v>-8.8969410419615134</v>
      </c>
      <c r="K42" s="14">
        <f>_xlfn.IFS(CORET!$J$1=1,ViscGas(TABEL!A42,INPUT!$B$7,INPUT!$B$11,TABEL!I42),CORET!$J$1=2,ViscCarr(TABEL!A42,INPUT!$B$7,INPUT!$B$11,OUTPUT!$B$17,OUTPUT!$B$16,INPUT!$E$15,INPUT!$E$14,INPUT!$E$13),CORET!$J$1=3,VisJossi(TABEL!A42,OUTPUT!$B$17,INPUT!$B$7,OUTPUT!$B$16,I42,INPUT!$B$11),CORET!$J$1=4,VisDean(TABEL!A42,OUTPUT!$B$17,INPUT!$B$7,OUTPUT!$B$16,I42,INPUT!$B$11),CORET!$J$1=5,VisLucas(TABEL!A42,OUTPUT!$B$17,INPUT!$B$7,OUTPUT!$B$16,INPUT!$B$11),CORET!$J$1=6,VisLondono(TABEL!A42,I42,INPUT!$B$7,INPUT!$B$11),CORET!$J$1=7,VisSutton(TABEL!A42,I42,INPUT!$B$7,OUTPUT!$B$16,INPUT!$B$11,OUTPUT!$B$17))</f>
        <v>3.3195771899226663E-3</v>
      </c>
      <c r="L42" s="14">
        <f>_xlfn.IFS(CORET!$K$1=1,CgHall(TABEL!A42,INPUT!$B$7,OUTPUT!$B$16,OUTPUT!$B$17,TABEL!I42),CORET!$K$1=2,CgDranchuk(TABEL!A42,INPUT!$B$7,OUTPUT!$B$16,OUTPUT!$B$17,TABEL!I42))</f>
        <v>-2.7221651365281195E-4</v>
      </c>
      <c r="M42" s="12">
        <f>_xlfn.IFS(CORET!$M$1=1,BWMeehan(TABEL!A42,INPUT!$B$7,CORET!$E$18,INPUT!$E$8),CORET!$M$1=2,BWMCain(TABEL!A42,INPUT!$B$7,TABEL!I42,B42,INPUT!$E$7,INPUT!$B$18,INPUT!$B$10,INPUT!$B$8))</f>
        <v>1.0182201601964784</v>
      </c>
      <c r="N42" s="14">
        <f>RswMcCain(TABEL!A42,INPUT!$B$7,INPUT!$E$7)</f>
        <v>-11.634998246047209</v>
      </c>
      <c r="O42" s="14">
        <f>Density_Brine(TABEL!A42,INPUT!$B$7,INPUT!$B$18,B42,INPUT!$E$7,TABEL!Q42,INPUT!$E$8)</f>
        <v>61.251979127937624</v>
      </c>
      <c r="P42" s="14">
        <f>_xlfn.IFS(CORET!$L$1=1,ViscBrine(TABEL!A42,INPUT!$B$7,INPUT!$E$7),CORET!$L$1=2,ViscMeehan(TABEL!A42,INPUT!$B$7,INPUT!$E$8),CORET!$L$1=3,ViscKestin(TABEL!A42,INPUT!$B$7,INPUT!$E$7))</f>
        <v>0.47912420738301581</v>
      </c>
      <c r="Q42" s="77">
        <f>_xlfn.IFS(CORET!$N$1=1,CWaterMeehan(TABEL!A42,INPUT!$B$7,CORET!E53,INPUT!$E$8,N42),CORET!$N$1=2,CWater(TABEL!A42,INPUT!$B$7,I42,B42,INPUT!$E$7,INPUT!$B$18,INPUT!$B$10,INPUT!$B$8))</f>
        <v>3.3400621452107052E-5</v>
      </c>
    </row>
    <row r="43" spans="1:17" ht="15.75" thickBot="1">
      <c r="A43" s="19">
        <f>A42-(($A$7-INPUT!$B$10)/36)</f>
        <v>-2803.5333333333328</v>
      </c>
      <c r="B43" s="18" t="str">
        <f>IF(A43&gt;=INPUT!$B$18,"Unsaturated","Saturated")</f>
        <v>Saturated</v>
      </c>
      <c r="C43" s="16" t="e">
        <f>_xlfn.IFS(CORET!$A$1=1,RSGLASO(INPUT!$B$16,INPUT!$B$11,INPUT!$B$7,B43,TABEL!A43,INPUT!$B$18),CORET!$A$1=2,RSSTANDING(A43,INPUT!$B$16,INPUT!$B$7,INPUT!$B$11,B43,INPUT!$B$18),CORET!$A$1=3,RSVASCUESS(INPUT!$E$20,A43,INPUT!$B$16,INPUT!$B$7,INPUT!$E$18,INPUT!$E$19,B43,INPUT!$B$18),CORET!$A$1=4,RSLASATER(A43,INPUT!$B$16,INPUT!$B$7,INPUT!$B$11,INPUT!$B$18,B43),CORET!$A$1=5,RSFARSHAD(TABEL!A43,INPUT!$B$18,INPUT!$B$16,INPUT!$B$7,INPUT!$B$11,B43),CORET!$A$1=6,RSKARTO(INPUT!$E$18,INPUT!$E$19,INPUT!$B$16,INPUT!$E$20,A43,INPUT!$B$18,INPUT!$B$7,B43),CORET!$A$1=7,RSMARHOUN(INPUT!$B$11,INPUT!$B$16,INPUT!$B$7,A43,INPUT!$B$18,B43),CORET!$A$1=8,RSHANAFY(A43,INPUT!$B$18,B43),CORET!$A$1=9,RSVELARDE(A43,INPUT!$B$18,INPUT!$B$11,INPUT!$B$16,INPUT!$B$7,B43),CORET!$A$1=10,RSFARSHAD(TABEL!A43,INPUT!$B$18,INPUT!$B$16,INPUT!$B$7,INPUT!$B$11,TABEL!B43))</f>
        <v>#VALUE!</v>
      </c>
      <c r="D43" s="16" t="e">
        <f>_xlfn.IFS(CORET!$G$1=1,standingBO(INPUT!$B$7,INPUT!$B$11,INPUT!$B$16,G43,B43,TABEL!A43,INPUT!$B$18),CORET!$G$1=2,VasquezzBO(INPUT!$B$7,INPUT!$E$20,INPUT!$B$11,INPUT!$B$16,TABEL!G43,TABEL!B43,TABEL!A43,INPUT!$B$18,INPUT!$E$19,INPUT!$E$18),CORET!$G$1=3,GlasoBo(INPUT!$B$11,INPUT!$B$16,INPUT!$B$7,TABEL!A43,B43,INPUT!$B$18,G43),CORET!$G$1=4,FarshadBo(INPUT!$B$11,INPUT!$B$16,INPUT!$B$7,TABEL!A43,INPUT!$B$18,TABEL!G43,TABEL!B43),CORET!$G$1=5,LeblancBo(G43,TABEL!A43,INPUT!$B$18,INPUT!$B$16,INPUT!$B$7,INPUT!$B$11,TABEL!B43),CORET!$G$1=6,MarhounBo(G43,INPUT!$B$11,INPUT!$B$16,INPUT!$B$7,TABEL!A43,INPUT!$B$18,TABEL!B43),CORET!$G$1=7,KartoBo(G43,INPUT!$E$18,INPUT!$E$19,INPUT!$B$16,INPUT!$E$20,TABEL!A43,INPUT!$B$18,INPUT!$B$7,TABEL!B43),CORET!$G$1=8,AlmaedhaidebBo(G43,INPUT!$E$20,TABEL!A43,INPUT!$B$16,INPUT!$B$7,INPUT!$E$18,INPUT!$E$19,TABEL!B43,INPUT!$B$18),CORET!$G$1=9,AlshammasiBo(G43,INPUT!$B$11,INPUT!$E$20,TABEL!A43,INPUT!$B$16,INPUT!$B$7,INPUT!$E$18,INPUT!$E$19,TABEL!B43,INPUT!$B$18),CORET!$G$1=10,SharkawyBo(G43,INPUT!$B$11,INPUT!$E$20,TABEL!A43,INPUT!$B$16,INPUT!$B$7,INPUT!$E$18,INPUT!$E$19,TABEL!B43,INPUT!$B$18),CORET!$G$1=11,OsmanBo(G43,INPUT!$B$11,INPUT!$E$20,TABEL!A43,INPUT!$B$16,INPUT!$B$7,INPUT!$E$18,INPUT!$E$19,TABEL!B43,INPUT!$B$18),CORET!$G$1=12,HanafyBo(G43,TABEL!A43,INPUT!$B$18,B43))</f>
        <v>#VALUE!</v>
      </c>
      <c r="E43" s="16" t="e">
        <f>_xlfn.IFS(CORET!$H$1=1,oildensstandard(INPUT!$B$16,C43,INPUT!$B$11,D43,G43,B43),CORET!$H$1=2,oildenshanafy(INPUT!$B$16,INPUT!$B$11,G43,TABEL!A43,INPUT!$B$18,TABEL!B43),CORET!$H$1=3,oildensstanding(INPUT!$B$16,INPUT!$E$20,INPUT!$B$11,TABEL!A43,INPUT!$B$18,TABEL!B43,G43),CORET!$H$1=4,oildensbalance(INPUT!$B$16,INPUT!$B$11,INPUT!$B$18,C43,G43,A43,INPUT!$B$7,D43,B43))</f>
        <v>#VALUE!</v>
      </c>
      <c r="F43" s="16" t="e">
        <f>_xlfn.IFS(CORET!$I$1=1,OilVisBeggs(INPUT!$B$16,INPUT!$B$7,INPUT!$E$20,INPUT!$E$18,INPUT!$E$19,TABEL!B43,TABEL!A43,INPUT!$B$18),CORET!$I$1=2,OilVisBeal(INPUT!$B$16,INPUT!$B$7,INPUT!$E$20,INPUT!$E$18,INPUT!$E$19,TABEL!B43,TABEL!A43,INPUT!$B$18),CORET!$I$1=3,OilVisEgbogah(INPUT!$E$20,TABEL!A43,INPUT!$B$16,INPUT!$B$7,INPUT!$E$18,INPUT!$E$19,TABEL!B43,INPUT!$B$18),CORET!$I$1=4,OilVisPetro(INPUT!$E$20,TABEL!A43,INPUT!$B$16,INPUT!$B$7,INPUT!$E$18,INPUT!$E$19,B43,INPUT!$B$18),CORET!$I$1=5,OilVisMarhoun(INPUT!$B$11,INPUT!$B$16,INPUT!$B$7,TABEL!A43,INPUT!$B$18,TABEL!B43),CORET!$I$1=6,OilVisAlmae(INPUT!$E$20,INPUT!$B$11,TABEL!A43,INPUT!$B$16,INPUT!$B$7,INPUT!$E$18,INPUT!$E$19,B43,INPUT!$B$18),CORET!$I$1=7,OilVisKhan(INPUT!$E$20,INPUT!$B$11,TABEL!A43,INPUT!$B$16,INPUT!$B$7,INPUT!$E$18,INPUT!$E$19,TABEL!B43,INPUT!$B$18),CORET!$I$1=8,OilVisHanafy(INPUT!$B$16,INPUT!$E$20,INPUT!$B$11,TABEL!A43,INPUT!$B$18,TABEL!B43,G43))</f>
        <v>#VALUE!</v>
      </c>
      <c r="G43" s="16" t="e">
        <f>_xlfn.IFS(CORET!$F$1=1,CoVaquezz(INPUT!$E$20,TABEL!A43,INPUT!$B$16,INPUT!$B$7,INPUT!$E$18,INPUT!$E$19,TABEL!B43,INPUT!$B$18,INPUT!$B$11),CORET!$F$1=2,CoPetrosky(INPUT!$B$11,TABEL!A43,INPUT!$B$16,INPUT!$B$7,TABEL!B43,INPUT!$B$18),CORET!$F$1=3,CoFarshad(INPUT!$E$20,INPUT!$B$11,TABEL!A43,INPUT!$B$16,INPUT!$B$7,INPUT!$E$18,INPUT!$E$19,TABEL!B43,INPUT!$B$18),CORET!$F$1=4,CoAlmehaideb(INPUT!$E$20,TABEL!A43,INPUT!$B$16,INPUT!$B$7,INPUT!$E$18,INPUT!$E$19,TABEL!B43,INPUT!$B$18),CORET!$F$1=5,CoSharkawy(INPUT!$E$20,TABEL!A43,INPUT!$B$16,INPUT!$B$7,INPUT!$E$18,INPUT!$E$19,TABEL!B43,INPUT!$B$18),CORET!$F$1=6,CoKarto(INPUT!$E$20,TABEL!A43,INPUT!$B$16,INPUT!$B$7,INPUT!$E$18,INPUT!$E$19,TABEL!B43,INPUT!$B$18),CORET!$F$1=7,CoAhmed(INPUT!$E$20,TABEL!A43,INPUT!$B$16,INPUT!$B$7,INPUT!$E$18,INPUT!$E$19,TABEL!B43,INPUT!$B$18),CORET!$F$1=8,CoDindoruk(INPUT!$E$20,INPUT!$B$11,TABEL!A43,INPUT!$B$16,INPUT!$B$7,INPUT!$E$18,INPUT!$E$19,B43,INPUT!$B$18),CORET!$F$1=9,CoMcCain(INPUT!$E$20,TABEL!A43,INPUT!$B$16,INPUT!$B$7,INPUT!$E$18,INPUT!$E$19,B43,INPUT!$B$18),CORET!$F$1=10,CoMarhoun(INPUT!$E$20,INPUT!$B$11,TABEL!A43,INPUT!$B$16,INPUT!$B$7,B43,INPUT!$B$18),CORET!$F$1=11,CoCalhoun(INPUT!$E$20,INPUT!$B$11,TABEL!A43,INPUT!$B$16,INPUT!$B$7,INPUT!$E$18,INPUT!$E$19,TABEL!B43,INPUT!$B$18),CORET!$F$1=12,CoLabedi(INPUT!$E$20,INPUT!$B$11,TABEL!A43,INPUT!$B$16,INPUT!$B$7,TABEL!B43,INPUT!$B$18),CORET!$F$1=13,CoDegetto(INPUT!$E$20,INPUT!$B$11,TABEL!A43,INPUT!$B$16,INPUT!$B$7,INPUT!$E$18,INPUT!$E$19,TABEL!B43,INPUT!$B$18))</f>
        <v>#VALUE!</v>
      </c>
      <c r="H43" s="16">
        <f>Bggeneral(INPUT!$B$10,TABEL!A43,INPUT!$B$8,INPUT!$B$7,I43)</f>
        <v>-1.6607754491548245E-2</v>
      </c>
      <c r="I43" s="16">
        <f>_xlfn.IFS(CORET!$E$1=1,ZAbouKassem(A43/OUTPUT!$B$17,(INPUT!$B$7+459.67)/(OUTPUT!$B$16+459.67),150,10^-12),CORET!$E$1=2,ZBeggsbrill(INPUT!$B$7+459.67,TABEL!A43,OUTPUT!$B$16+459.67,OUTPUT!$B$17),CORET!$E$1=3,hall(TABEL!A43,INPUT!$B$7+459.67,OUTPUT!$B$16+459.67,OUTPUT!$B$17),CORET!$E$1=4,zpapay(INPUT!$B$7+459.67,TABEL!A43,OUTPUT!$B$16+459.67,OUTPUT!$B$17))</f>
        <v>1.3740812351057632</v>
      </c>
      <c r="J43" s="16">
        <f>gasdensgeneral(A43,I43,INPUT!$B$7)</f>
        <v>-9.2436388680180919</v>
      </c>
      <c r="K43" s="16">
        <f>_xlfn.IFS(CORET!$J$1=1,ViscGas(TABEL!A43,INPUT!$B$7,INPUT!$B$11,TABEL!I43),CORET!$J$1=2,ViscCarr(TABEL!A43,INPUT!$B$7,INPUT!$B$11,OUTPUT!$B$17,OUTPUT!$B$16,INPUT!$E$15,INPUT!$E$14,INPUT!$E$13),CORET!$J$1=3,VisJossi(TABEL!A43,OUTPUT!$B$17,INPUT!$B$7,OUTPUT!$B$16,I43,INPUT!$B$11),CORET!$J$1=4,VisDean(TABEL!A43,OUTPUT!$B$17,INPUT!$B$7,OUTPUT!$B$16,I43,INPUT!$B$11),CORET!$J$1=5,VisLucas(TABEL!A43,OUTPUT!$B$17,INPUT!$B$7,OUTPUT!$B$16,INPUT!$B$11),CORET!$J$1=6,VisLondono(TABEL!A43,I43,INPUT!$B$7,INPUT!$B$11),CORET!$J$1=7,VisSutton(TABEL!A43,I43,INPUT!$B$7,OUTPUT!$B$16,INPUT!$B$11,OUTPUT!$B$17))</f>
        <v>3.1047596136526785E-3</v>
      </c>
      <c r="L43" s="16">
        <f>_xlfn.IFS(CORET!$K$1=1,CgHall(TABEL!A43,INPUT!$B$7,OUTPUT!$B$16,OUTPUT!$B$17,TABEL!I43),CORET!$K$1=2,CgDranchuk(TABEL!A43,INPUT!$B$7,OUTPUT!$B$16,OUTPUT!$B$17,TABEL!I43))</f>
        <v>-2.558663157346602E-4</v>
      </c>
      <c r="M43" s="12">
        <f>_xlfn.IFS(CORET!$M$1=1,BWMeehan(TABEL!A43,INPUT!$B$7,CORET!$E$18,INPUT!$E$8),CORET!$M$1=2,BWMCain(TABEL!A43,INPUT!$B$7,TABEL!I43,B43,INPUT!$E$7,INPUT!$B$18,INPUT!$B$10,INPUT!$B$8))</f>
        <v>1.0181163275296039</v>
      </c>
      <c r="N43" s="16">
        <f>RswMcCain(TABEL!A43,INPUT!$B$7,INPUT!$E$7)</f>
        <v>-12.465124876579084</v>
      </c>
      <c r="O43" s="16">
        <f>Density_Brine(TABEL!A43,INPUT!$B$7,INPUT!$B$18,B43,INPUT!$E$7,TABEL!Q43,INPUT!$E$8)</f>
        <v>61.258225915433535</v>
      </c>
      <c r="P43" s="16">
        <f>_xlfn.IFS(CORET!$L$1=1,ViscBrine(TABEL!A43,INPUT!$B$7,INPUT!$E$7),CORET!$L$1=2,ViscMeehan(TABEL!A43,INPUT!$B$7,INPUT!$E$8),CORET!$L$1=3,ViscKestin(TABEL!A43,INPUT!$B$7,INPUT!$E$7))</f>
        <v>0.47892229653632784</v>
      </c>
      <c r="Q43" s="78">
        <f>_xlfn.IFS(CORET!$N$1=1,CWaterMeehan(TABEL!A43,INPUT!$B$7,CORET!E54,INPUT!$E$8,N43),CORET!$N$1=2,CWater(TABEL!A43,INPUT!$B$7,I43,B43,INPUT!$E$7,INPUT!$B$18,INPUT!$B$10,INPUT!$B$8))</f>
        <v>3.3514755964483806E-5</v>
      </c>
    </row>
  </sheetData>
  <mergeCells count="5">
    <mergeCell ref="B5:B6"/>
    <mergeCell ref="C4:G4"/>
    <mergeCell ref="H4:L4"/>
    <mergeCell ref="M4:Q4"/>
    <mergeCell ref="C1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Menusheet.Menusheet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857250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FCDF6-6478-4984-9012-E9AB18ABDD6E}">
  <sheetPr codeName="Sheet5"/>
  <dimension ref="A2:L21"/>
  <sheetViews>
    <sheetView workbookViewId="0">
      <selection activeCell="P6" sqref="P6"/>
    </sheetView>
  </sheetViews>
  <sheetFormatPr defaultRowHeight="15"/>
  <cols>
    <col min="1" max="1" width="22.28515625" customWidth="1"/>
    <col min="2" max="2" width="6.140625" customWidth="1"/>
  </cols>
  <sheetData>
    <row r="2" spans="1:12" ht="15.75" thickBot="1"/>
    <row r="3" spans="1:12" ht="15" customHeight="1">
      <c r="A3" s="158" t="s">
        <v>167</v>
      </c>
      <c r="B3" s="159"/>
      <c r="C3" s="154" t="s">
        <v>162</v>
      </c>
      <c r="D3" s="154"/>
      <c r="E3" s="154"/>
      <c r="F3" s="154"/>
      <c r="G3" s="154"/>
      <c r="H3" s="154"/>
      <c r="I3" s="154"/>
      <c r="J3" s="154"/>
      <c r="K3" s="154"/>
      <c r="L3" s="155"/>
    </row>
    <row r="4" spans="1:12" ht="15.75" thickBot="1">
      <c r="A4" s="160"/>
      <c r="B4" s="161"/>
      <c r="C4" s="156"/>
      <c r="D4" s="156"/>
      <c r="E4" s="156"/>
      <c r="F4" s="156"/>
      <c r="G4" s="156"/>
      <c r="H4" s="156"/>
      <c r="I4" s="156"/>
      <c r="J4" s="156"/>
      <c r="K4" s="156"/>
      <c r="L4" s="157"/>
    </row>
    <row r="5" spans="1:12">
      <c r="C5" s="68"/>
      <c r="D5" s="69"/>
      <c r="E5" s="69"/>
      <c r="F5" s="69"/>
      <c r="G5" s="69"/>
      <c r="H5" s="69"/>
      <c r="I5" s="69"/>
      <c r="J5" s="69"/>
      <c r="K5" s="69"/>
      <c r="L5" s="70"/>
    </row>
    <row r="6" spans="1:12">
      <c r="C6" s="71"/>
      <c r="D6" s="72"/>
      <c r="E6" s="72"/>
      <c r="F6" s="72"/>
      <c r="G6" s="72"/>
      <c r="H6" s="72"/>
      <c r="I6" s="72"/>
      <c r="J6" s="72"/>
      <c r="K6" s="72"/>
      <c r="L6" s="73"/>
    </row>
    <row r="7" spans="1:12">
      <c r="C7" s="71"/>
      <c r="D7" s="72"/>
      <c r="E7" s="72"/>
      <c r="F7" s="72"/>
      <c r="G7" s="72"/>
      <c r="H7" s="72"/>
      <c r="I7" s="72"/>
      <c r="J7" s="72"/>
      <c r="K7" s="72"/>
      <c r="L7" s="73"/>
    </row>
    <row r="8" spans="1:12">
      <c r="C8" s="71"/>
      <c r="D8" s="72"/>
      <c r="E8" s="72"/>
      <c r="F8" s="72"/>
      <c r="G8" s="72"/>
      <c r="H8" s="72"/>
      <c r="I8" s="72"/>
      <c r="J8" s="72"/>
      <c r="K8" s="72"/>
      <c r="L8" s="73"/>
    </row>
    <row r="9" spans="1:12">
      <c r="C9" s="71"/>
      <c r="D9" s="72"/>
      <c r="E9" s="72"/>
      <c r="F9" s="72"/>
      <c r="G9" s="72"/>
      <c r="H9" s="72"/>
      <c r="I9" s="72"/>
      <c r="J9" s="72"/>
      <c r="K9" s="72"/>
      <c r="L9" s="73"/>
    </row>
    <row r="10" spans="1:12">
      <c r="C10" s="71"/>
      <c r="D10" s="72"/>
      <c r="E10" s="72"/>
      <c r="F10" s="72"/>
      <c r="G10" s="72"/>
      <c r="H10" s="72"/>
      <c r="I10" s="72"/>
      <c r="J10" s="72"/>
      <c r="K10" s="72"/>
      <c r="L10" s="73"/>
    </row>
    <row r="11" spans="1:12">
      <c r="C11" s="71"/>
      <c r="D11" s="72"/>
      <c r="E11" s="72"/>
      <c r="F11" s="72"/>
      <c r="G11" s="72"/>
      <c r="H11" s="72"/>
      <c r="I11" s="72"/>
      <c r="J11" s="72"/>
      <c r="K11" s="72"/>
      <c r="L11" s="73"/>
    </row>
    <row r="12" spans="1:12">
      <c r="C12" s="71"/>
      <c r="D12" s="72"/>
      <c r="E12" s="72"/>
      <c r="F12" s="72"/>
      <c r="G12" s="72"/>
      <c r="H12" s="72"/>
      <c r="I12" s="72"/>
      <c r="J12" s="72"/>
      <c r="K12" s="72"/>
      <c r="L12" s="73"/>
    </row>
    <row r="13" spans="1:12">
      <c r="C13" s="71"/>
      <c r="D13" s="72"/>
      <c r="E13" s="72"/>
      <c r="F13" s="72"/>
      <c r="G13" s="72"/>
      <c r="H13" s="72"/>
      <c r="I13" s="72"/>
      <c r="J13" s="72"/>
      <c r="K13" s="72"/>
      <c r="L13" s="73"/>
    </row>
    <row r="14" spans="1:12">
      <c r="C14" s="71"/>
      <c r="D14" s="72"/>
      <c r="E14" s="72"/>
      <c r="F14" s="72"/>
      <c r="G14" s="72"/>
      <c r="H14" s="72"/>
      <c r="I14" s="72"/>
      <c r="J14" s="72"/>
      <c r="K14" s="72"/>
      <c r="L14" s="73"/>
    </row>
    <row r="15" spans="1:12" ht="15.75" thickBot="1">
      <c r="C15" s="71"/>
      <c r="D15" s="72"/>
      <c r="E15" s="72"/>
      <c r="F15" s="72"/>
      <c r="G15" s="72"/>
      <c r="H15" s="72"/>
      <c r="I15" s="72"/>
      <c r="J15" s="72"/>
      <c r="K15" s="72"/>
      <c r="L15" s="73"/>
    </row>
    <row r="16" spans="1:12">
      <c r="A16" s="148"/>
      <c r="B16" s="149"/>
      <c r="C16" s="71"/>
      <c r="D16" s="72"/>
      <c r="E16" s="72"/>
      <c r="F16" s="72"/>
      <c r="G16" s="72"/>
      <c r="H16" s="72"/>
      <c r="I16" s="72"/>
      <c r="J16" s="72"/>
      <c r="K16" s="72"/>
      <c r="L16" s="73"/>
    </row>
    <row r="17" spans="1:12">
      <c r="A17" s="150"/>
      <c r="B17" s="151"/>
      <c r="C17" s="71"/>
      <c r="D17" s="72"/>
      <c r="E17" s="72"/>
      <c r="F17" s="72"/>
      <c r="G17" s="72"/>
      <c r="H17" s="72"/>
      <c r="I17" s="72"/>
      <c r="J17" s="72"/>
      <c r="K17" s="72"/>
      <c r="L17" s="73"/>
    </row>
    <row r="18" spans="1:12">
      <c r="A18" s="150"/>
      <c r="B18" s="151"/>
      <c r="C18" s="71"/>
      <c r="D18" s="72"/>
      <c r="E18" s="72"/>
      <c r="F18" s="72"/>
      <c r="G18" s="72"/>
      <c r="H18" s="72"/>
      <c r="I18" s="72"/>
      <c r="J18" s="72"/>
      <c r="K18" s="72"/>
      <c r="L18" s="73"/>
    </row>
    <row r="19" spans="1:12">
      <c r="A19" s="150"/>
      <c r="B19" s="151"/>
      <c r="C19" s="71"/>
      <c r="D19" s="72"/>
      <c r="E19" s="72"/>
      <c r="F19" s="72"/>
      <c r="G19" s="72"/>
      <c r="H19" s="72"/>
      <c r="I19" s="72"/>
      <c r="J19" s="72"/>
      <c r="K19" s="72"/>
      <c r="L19" s="73"/>
    </row>
    <row r="20" spans="1:12">
      <c r="A20" s="150"/>
      <c r="B20" s="151"/>
      <c r="C20" s="71"/>
      <c r="D20" s="72"/>
      <c r="E20" s="72"/>
      <c r="F20" s="72"/>
      <c r="G20" s="72"/>
      <c r="H20" s="72"/>
      <c r="I20" s="72"/>
      <c r="J20" s="72"/>
      <c r="K20" s="72"/>
      <c r="L20" s="73"/>
    </row>
    <row r="21" spans="1:12" ht="15.75" thickBot="1">
      <c r="A21" s="152"/>
      <c r="B21" s="153"/>
      <c r="C21" s="74"/>
      <c r="D21" s="75"/>
      <c r="E21" s="75"/>
      <c r="F21" s="75"/>
      <c r="G21" s="75"/>
      <c r="H21" s="75"/>
      <c r="I21" s="75"/>
      <c r="J21" s="75"/>
      <c r="K21" s="75"/>
      <c r="L21" s="76"/>
    </row>
  </sheetData>
  <mergeCells count="3">
    <mergeCell ref="A16:B21"/>
    <mergeCell ref="C3:L4"/>
    <mergeCell ref="A3:B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List Box 1">
              <controlPr defaultSize="0" autoLine="0" autoPict="0">
                <anchor moveWithCells="1">
                  <from>
                    <xdr:col>0</xdr:col>
                    <xdr:colOff>19050</xdr:colOff>
                    <xdr:row>4</xdr:row>
                    <xdr:rowOff>9525</xdr:rowOff>
                  </from>
                  <to>
                    <xdr:col>1</xdr:col>
                    <xdr:colOff>390525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Menusheet.Menusheet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1</xdr:col>
                    <xdr:colOff>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13B0A-21D4-443A-A70B-DE5B61B7BF83}">
  <sheetPr codeName="Sheet6"/>
  <dimension ref="A1:R23"/>
  <sheetViews>
    <sheetView workbookViewId="0">
      <selection activeCell="A3" sqref="A3"/>
    </sheetView>
  </sheetViews>
  <sheetFormatPr defaultRowHeight="15"/>
  <cols>
    <col min="1" max="16384" width="9.140625" style="82"/>
  </cols>
  <sheetData>
    <row r="1" spans="1:18">
      <c r="A1" s="162" t="s">
        <v>99</v>
      </c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81"/>
      <c r="M1" s="81"/>
      <c r="N1" s="81"/>
      <c r="O1" s="81"/>
      <c r="P1" s="81"/>
      <c r="Q1" s="81"/>
      <c r="R1" s="81"/>
    </row>
    <row r="2" spans="1:18">
      <c r="A2" s="162" t="s">
        <v>165</v>
      </c>
      <c r="B2" s="162"/>
      <c r="C2" s="162"/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2"/>
      <c r="R2" s="162"/>
    </row>
    <row r="3" spans="1:18">
      <c r="A3" s="81"/>
      <c r="B3" s="81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</row>
    <row r="4" spans="1:18">
      <c r="A4" s="81"/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</row>
    <row r="5" spans="1:18">
      <c r="A5" s="81"/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  <c r="R5" s="81"/>
    </row>
    <row r="6" spans="1:18">
      <c r="A6" s="81"/>
      <c r="B6" s="81"/>
      <c r="C6" s="81"/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  <c r="P6" s="81"/>
      <c r="Q6" s="81"/>
      <c r="R6" s="81"/>
    </row>
    <row r="7" spans="1:18">
      <c r="A7" s="81"/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</row>
    <row r="8" spans="1:18">
      <c r="A8" s="81"/>
      <c r="B8" s="81"/>
      <c r="C8" s="81"/>
      <c r="D8" s="81"/>
      <c r="E8" s="81"/>
      <c r="F8" s="81"/>
      <c r="G8" s="81"/>
      <c r="H8" s="81"/>
      <c r="I8" s="81"/>
      <c r="J8" s="81"/>
      <c r="K8" s="81"/>
      <c r="L8" s="81"/>
      <c r="M8" s="81"/>
      <c r="N8" s="81"/>
      <c r="O8" s="81"/>
      <c r="P8" s="81"/>
      <c r="Q8" s="81"/>
      <c r="R8" s="81"/>
    </row>
    <row r="9" spans="1:18">
      <c r="A9" s="81"/>
      <c r="B9" s="81"/>
      <c r="C9" s="81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</row>
    <row r="10" spans="1:18">
      <c r="A10" s="81"/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</row>
    <row r="11" spans="1:18">
      <c r="A11" s="81"/>
      <c r="B11" s="81"/>
      <c r="C11" s="81"/>
      <c r="D11" s="81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</row>
    <row r="12" spans="1:18">
      <c r="A12" s="81"/>
      <c r="B12" s="81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</row>
    <row r="13" spans="1:18">
      <c r="A13" s="81"/>
      <c r="B13" s="81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81"/>
      <c r="N13" s="81"/>
      <c r="O13" s="81"/>
      <c r="P13" s="81"/>
      <c r="Q13" s="81"/>
      <c r="R13" s="81"/>
    </row>
    <row r="14" spans="1:18">
      <c r="A14" s="81"/>
      <c r="B14" s="81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1"/>
      <c r="R14" s="81"/>
    </row>
    <row r="15" spans="1:18">
      <c r="A15" s="81"/>
      <c r="B15" s="81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</row>
    <row r="16" spans="1:18">
      <c r="A16" s="81"/>
      <c r="B16" s="81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81"/>
      <c r="N16" s="81"/>
      <c r="O16" s="81"/>
      <c r="P16" s="81"/>
      <c r="Q16" s="81"/>
      <c r="R16" s="81"/>
    </row>
    <row r="17" spans="1:18">
      <c r="A17" s="81"/>
      <c r="B17" s="81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1"/>
      <c r="Q17" s="81"/>
      <c r="R17" s="81"/>
    </row>
    <row r="18" spans="1:18">
      <c r="A18" s="81"/>
      <c r="B18" s="81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1"/>
    </row>
    <row r="19" spans="1:18">
      <c r="A19" s="81"/>
      <c r="B19" s="81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</row>
    <row r="20" spans="1:18">
      <c r="A20" s="81"/>
      <c r="B20" s="81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</row>
    <row r="21" spans="1:18">
      <c r="A21" s="81"/>
      <c r="B21" s="81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1"/>
      <c r="O21" s="81"/>
      <c r="P21" s="81"/>
      <c r="Q21" s="81"/>
      <c r="R21" s="81"/>
    </row>
    <row r="22" spans="1:18">
      <c r="A22" s="81"/>
      <c r="B22" s="81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81"/>
    </row>
    <row r="23" spans="1:18">
      <c r="A23" s="83"/>
      <c r="B23" s="83"/>
      <c r="C23" s="83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</row>
  </sheetData>
  <mergeCells count="2">
    <mergeCell ref="A2:R2"/>
    <mergeCell ref="A1:K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B398D-F645-46AB-BF9C-3BDA0FB24530}">
  <sheetPr codeName="Sheet3"/>
  <dimension ref="A1:S38"/>
  <sheetViews>
    <sheetView zoomScaleNormal="100" workbookViewId="0">
      <selection activeCell="A21" sqref="A21"/>
    </sheetView>
  </sheetViews>
  <sheetFormatPr defaultRowHeight="15"/>
  <cols>
    <col min="15" max="15" width="9.140625" customWidth="1"/>
    <col min="16" max="16" width="7.42578125" customWidth="1"/>
    <col min="17" max="17" width="15" customWidth="1"/>
    <col min="18" max="18" width="28.85546875" customWidth="1"/>
    <col min="19" max="19" width="19.42578125" customWidth="1"/>
    <col min="20" max="20" width="11" customWidth="1"/>
  </cols>
  <sheetData>
    <row r="1" spans="1:19">
      <c r="A1">
        <v>3</v>
      </c>
      <c r="B1">
        <v>1</v>
      </c>
      <c r="C1">
        <v>1</v>
      </c>
      <c r="D1">
        <v>2</v>
      </c>
      <c r="E1">
        <v>1</v>
      </c>
      <c r="F1">
        <v>1</v>
      </c>
      <c r="G1">
        <v>6</v>
      </c>
      <c r="H1">
        <v>3</v>
      </c>
      <c r="I1">
        <v>7</v>
      </c>
      <c r="J1">
        <v>2</v>
      </c>
      <c r="K1">
        <v>2</v>
      </c>
      <c r="L1">
        <v>3</v>
      </c>
      <c r="M1">
        <v>2</v>
      </c>
      <c r="N1">
        <v>1</v>
      </c>
      <c r="Q1" t="s">
        <v>9</v>
      </c>
      <c r="R1">
        <v>2</v>
      </c>
      <c r="S1" t="str">
        <f>INDEX(R2:R16,option)</f>
        <v>Formation Volume Factor oil</v>
      </c>
    </row>
    <row r="2" spans="1:19">
      <c r="A2" t="s">
        <v>38</v>
      </c>
      <c r="B2" t="s">
        <v>84</v>
      </c>
      <c r="C2" t="s">
        <v>88</v>
      </c>
      <c r="D2" t="s">
        <v>90</v>
      </c>
      <c r="E2" t="s">
        <v>98</v>
      </c>
      <c r="F2" t="s">
        <v>100</v>
      </c>
      <c r="G2" t="s">
        <v>39</v>
      </c>
      <c r="H2" t="s">
        <v>119</v>
      </c>
      <c r="I2" s="36" t="s">
        <v>121</v>
      </c>
      <c r="J2" s="36" t="s">
        <v>127</v>
      </c>
      <c r="K2" s="36" t="s">
        <v>135</v>
      </c>
      <c r="L2" s="36" t="s">
        <v>138</v>
      </c>
      <c r="M2" s="36" t="s">
        <v>139</v>
      </c>
      <c r="N2" s="36" t="s">
        <v>139</v>
      </c>
      <c r="Q2">
        <f>INPUT!B9</f>
        <v>5000</v>
      </c>
      <c r="R2" t="s">
        <v>147</v>
      </c>
      <c r="S2">
        <f>INDEX(TABEL!C7:Q7,option)</f>
        <v>1.0147505382038522</v>
      </c>
    </row>
    <row r="3" spans="1:19">
      <c r="A3" t="s">
        <v>39</v>
      </c>
      <c r="C3" t="s">
        <v>89</v>
      </c>
      <c r="D3" t="s">
        <v>91</v>
      </c>
      <c r="E3" t="s">
        <v>95</v>
      </c>
      <c r="F3" t="s">
        <v>101</v>
      </c>
      <c r="G3" t="s">
        <v>100</v>
      </c>
      <c r="H3" t="s">
        <v>46</v>
      </c>
      <c r="I3" t="s">
        <v>122</v>
      </c>
      <c r="J3" t="s">
        <v>128</v>
      </c>
      <c r="K3" t="s">
        <v>98</v>
      </c>
      <c r="L3" t="s">
        <v>139</v>
      </c>
      <c r="M3" t="s">
        <v>144</v>
      </c>
      <c r="N3" t="s">
        <v>144</v>
      </c>
      <c r="Q3">
        <f>Q2-(($Q$2-INPUT!$B$10)/36)</f>
        <v>4861.5194444444442</v>
      </c>
      <c r="R3" t="s">
        <v>148</v>
      </c>
      <c r="S3">
        <f>INDEX(TABEL!C8:Q8,option)</f>
        <v>1.0149274746831292</v>
      </c>
    </row>
    <row r="4" spans="1:19">
      <c r="A4" t="s">
        <v>40</v>
      </c>
      <c r="D4" t="s">
        <v>94</v>
      </c>
      <c r="E4" t="s">
        <v>96</v>
      </c>
      <c r="F4" t="s">
        <v>102</v>
      </c>
      <c r="G4" t="s">
        <v>38</v>
      </c>
      <c r="H4" t="s">
        <v>39</v>
      </c>
      <c r="I4" t="s">
        <v>123</v>
      </c>
      <c r="J4" t="s">
        <v>129</v>
      </c>
      <c r="L4" t="s">
        <v>140</v>
      </c>
      <c r="Q4">
        <f>Q3-(($Q$2-INPUT!$B$10)/36)</f>
        <v>4723.0388888888883</v>
      </c>
      <c r="R4" t="s">
        <v>149</v>
      </c>
      <c r="S4">
        <f>INDEX(TABEL!C9:Q9,option)</f>
        <v>1.0152224373766747</v>
      </c>
    </row>
    <row r="5" spans="1:19">
      <c r="A5" t="s">
        <v>41</v>
      </c>
      <c r="E5" t="s">
        <v>97</v>
      </c>
      <c r="F5" t="s">
        <v>103</v>
      </c>
      <c r="G5" t="s">
        <v>109</v>
      </c>
      <c r="H5" t="s">
        <v>120</v>
      </c>
      <c r="I5" t="s">
        <v>101</v>
      </c>
      <c r="J5" t="s">
        <v>130</v>
      </c>
      <c r="Q5">
        <f>Q4-(($Q$2-INPUT!$B$10)/36)</f>
        <v>4584.5583333333325</v>
      </c>
      <c r="R5" t="s">
        <v>150</v>
      </c>
      <c r="S5">
        <f>INDEX(TABEL!C10:Q10,option)</f>
        <v>1.0158126199587509</v>
      </c>
    </row>
    <row r="6" spans="1:19">
      <c r="A6" t="s">
        <v>42</v>
      </c>
      <c r="F6" t="s">
        <v>104</v>
      </c>
      <c r="G6" t="s">
        <v>110</v>
      </c>
      <c r="I6" t="s">
        <v>44</v>
      </c>
      <c r="J6" t="s">
        <v>131</v>
      </c>
      <c r="Q6">
        <f>Q5-(($Q$2-INPUT!$B$10)/36)</f>
        <v>4446.0777777777766</v>
      </c>
      <c r="R6" t="s">
        <v>151</v>
      </c>
      <c r="S6">
        <f>INDEX(TABEL!C11:Q11,option)</f>
        <v>1.0164031456335993</v>
      </c>
    </row>
    <row r="7" spans="1:19">
      <c r="A7" t="s">
        <v>43</v>
      </c>
      <c r="F7" t="s">
        <v>105</v>
      </c>
      <c r="G7" t="s">
        <v>44</v>
      </c>
      <c r="I7" t="s">
        <v>124</v>
      </c>
      <c r="J7" t="s">
        <v>132</v>
      </c>
      <c r="Q7">
        <f>Q6-(($Q$2-INPUT!$B$10)/36)</f>
        <v>4307.5972222222208</v>
      </c>
      <c r="R7" t="s">
        <v>152</v>
      </c>
      <c r="S7">
        <f>INDEX(TABEL!C12:Q12,option)</f>
        <v>1.0175852270595325</v>
      </c>
    </row>
    <row r="8" spans="1:19">
      <c r="A8" t="s">
        <v>44</v>
      </c>
      <c r="F8" t="s">
        <v>106</v>
      </c>
      <c r="G8" t="s">
        <v>105</v>
      </c>
      <c r="I8" t="s">
        <v>125</v>
      </c>
      <c r="J8" t="s">
        <v>133</v>
      </c>
      <c r="Q8">
        <f>Q7-(($Q$2-INPUT!$B$10)/36)</f>
        <v>4169.116666666665</v>
      </c>
      <c r="R8" t="s">
        <v>153</v>
      </c>
      <c r="S8">
        <f>INDEX(TABEL!C13:Q13,option)</f>
        <v>1.0184726902317711</v>
      </c>
    </row>
    <row r="9" spans="1:19">
      <c r="A9" t="s">
        <v>46</v>
      </c>
      <c r="F9" t="s">
        <v>107</v>
      </c>
      <c r="G9" t="s">
        <v>111</v>
      </c>
      <c r="I9" t="s">
        <v>46</v>
      </c>
      <c r="Q9">
        <f>Q8-(($Q$2-INPUT!$B$10)/36)</f>
        <v>4030.6361111111096</v>
      </c>
      <c r="R9" t="s">
        <v>154</v>
      </c>
      <c r="S9">
        <f>INDEX(TABEL!C14:Q14,option)</f>
        <v>1.0199535158082897</v>
      </c>
    </row>
    <row r="10" spans="1:19">
      <c r="A10" t="s">
        <v>47</v>
      </c>
      <c r="F10" t="s">
        <v>108</v>
      </c>
      <c r="G10" t="s">
        <v>112</v>
      </c>
      <c r="Q10">
        <f>Q9-(($Q$2-INPUT!$B$10)/36)</f>
        <v>3892.1555555555542</v>
      </c>
      <c r="R10" t="s">
        <v>155</v>
      </c>
      <c r="S10">
        <f>INDEX(TABEL!C15:Q15,option)</f>
        <v>1.0229216293059242</v>
      </c>
    </row>
    <row r="11" spans="1:19">
      <c r="A11" t="s">
        <v>102</v>
      </c>
      <c r="F11" t="s">
        <v>44</v>
      </c>
      <c r="G11" t="s">
        <v>113</v>
      </c>
      <c r="Q11">
        <f>Q10-(($Q$2-INPUT!$B$10)/36)</f>
        <v>3753.6749999999988</v>
      </c>
      <c r="R11" t="s">
        <v>156</v>
      </c>
      <c r="S11">
        <f>INDEX(TABEL!C16:Q16,option)</f>
        <v>1.0211397263306909</v>
      </c>
    </row>
    <row r="12" spans="1:19">
      <c r="F12" t="s">
        <v>116</v>
      </c>
      <c r="G12" t="s">
        <v>114</v>
      </c>
      <c r="Q12">
        <f>Q11-(($Q$2-INPUT!$B$10)/36)</f>
        <v>3615.1944444444434</v>
      </c>
      <c r="R12" t="s">
        <v>157</v>
      </c>
      <c r="S12">
        <f>INDEX(TABEL!C17:Q17,option)</f>
        <v>1.041811211767691</v>
      </c>
    </row>
    <row r="13" spans="1:19">
      <c r="F13" t="s">
        <v>117</v>
      </c>
      <c r="G13" t="s">
        <v>46</v>
      </c>
      <c r="Q13">
        <f>Q12-(($Q$2-INPUT!$B$10)/36)</f>
        <v>3476.7138888888881</v>
      </c>
      <c r="R13" t="s">
        <v>158</v>
      </c>
      <c r="S13">
        <f>INDEX(TABEL!C18:Q18,option)</f>
        <v>1.040181732</v>
      </c>
    </row>
    <row r="14" spans="1:19">
      <c r="F14" t="s">
        <v>118</v>
      </c>
      <c r="Q14">
        <f>Q13-(($Q$2-INPUT!$B$10)/36)</f>
        <v>3338.2333333333327</v>
      </c>
      <c r="R14" t="s">
        <v>159</v>
      </c>
      <c r="S14">
        <f>INDEX(TABEL!C19:Q19,option)</f>
        <v>1.0208658630524123</v>
      </c>
    </row>
    <row r="15" spans="1:19">
      <c r="Q15">
        <f>Q14-(($Q$2-INPUT!$B$10)/36)</f>
        <v>3199.7527777777773</v>
      </c>
      <c r="R15" t="s">
        <v>160</v>
      </c>
      <c r="S15">
        <f>INDEX(TABEL!C20:Q20,option)</f>
        <v>1.0233536679956772</v>
      </c>
    </row>
    <row r="16" spans="1:19">
      <c r="Q16">
        <f>Q15-(($Q$2-INPUT!$B$10)/36)</f>
        <v>3061.2722222222219</v>
      </c>
      <c r="R16" t="s">
        <v>161</v>
      </c>
      <c r="S16">
        <f>INDEX(TABEL!C21:Q21,option)</f>
        <v>1.0286968953811964</v>
      </c>
    </row>
    <row r="17" spans="3:19">
      <c r="Q17">
        <f>Q16-(($Q$2-INPUT!$B$10)/36)</f>
        <v>2922.7916666666665</v>
      </c>
      <c r="S17">
        <f>INDEX(TABEL!C22:Q22,option)</f>
        <v>1.0416435517759142</v>
      </c>
    </row>
    <row r="18" spans="3:19">
      <c r="E18">
        <v>1</v>
      </c>
      <c r="Q18">
        <f>Q17-(($Q$2-INPUT!$B$10)/36)</f>
        <v>2784.3111111111111</v>
      </c>
      <c r="S18" t="e">
        <f>INDEX(TABEL!C23:Q23,option)</f>
        <v>#VALUE!</v>
      </c>
    </row>
    <row r="19" spans="3:19">
      <c r="C19" t="s">
        <v>136</v>
      </c>
      <c r="D19">
        <f>hall(INPUT!B17,INPUT!B7+459.67,OUTPUT!B16+459.67,OUTPUT!B17)</f>
        <v>1.0026205272467132</v>
      </c>
      <c r="E19" t="s">
        <v>142</v>
      </c>
      <c r="Q19">
        <f>Q18-(($Q$2-INPUT!$B$10)/36)</f>
        <v>2645.8305555555557</v>
      </c>
      <c r="S19" t="e">
        <f>INDEX(TABEL!C24:Q24,option)</f>
        <v>#VALUE!</v>
      </c>
    </row>
    <row r="20" spans="3:19">
      <c r="C20" t="s">
        <v>137</v>
      </c>
      <c r="D20">
        <f>ZAbouKassem(INPUT!B17/OUTPUT!B17,(INPUT!B7+459.67)/(OUTPUT!B16+459.67),150,10^-12)</f>
        <v>0.96596187638754094</v>
      </c>
      <c r="E20" t="s">
        <v>143</v>
      </c>
      <c r="Q20">
        <f>Q19-(($Q$2-INPUT!$B$10)/36)</f>
        <v>2507.3500000000004</v>
      </c>
      <c r="S20" t="e">
        <f>INDEX(TABEL!C25:Q25,option)</f>
        <v>#VALUE!</v>
      </c>
    </row>
    <row r="21" spans="3:19">
      <c r="Q21">
        <f>Q20-(($Q$2-INPUT!$B$10)/36)</f>
        <v>2368.869444444445</v>
      </c>
      <c r="S21" t="e">
        <f>INDEX(TABEL!C26:Q26,option)</f>
        <v>#VALUE!</v>
      </c>
    </row>
    <row r="22" spans="3:19">
      <c r="Q22">
        <f>Q21-(($Q$2-INPUT!$B$10)/36)</f>
        <v>2230.3888888888896</v>
      </c>
      <c r="S22" t="e">
        <f>INDEX(TABEL!C27:Q27,option)</f>
        <v>#VALUE!</v>
      </c>
    </row>
    <row r="23" spans="3:19">
      <c r="Q23">
        <f>Q22-(($Q$2-INPUT!$B$10)/36)</f>
        <v>2091.9083333333342</v>
      </c>
      <c r="S23" t="e">
        <f>INDEX(TABEL!C28:Q28,option)</f>
        <v>#VALUE!</v>
      </c>
    </row>
    <row r="24" spans="3:19">
      <c r="Q24">
        <f>Q23-(($Q$2-INPUT!$B$10)/36)</f>
        <v>1953.4277777777786</v>
      </c>
      <c r="S24" t="e">
        <f>INDEX(TABEL!C29:Q29,option)</f>
        <v>#VALUE!</v>
      </c>
    </row>
    <row r="25" spans="3:19">
      <c r="Q25">
        <f>Q24-(($Q$2-INPUT!$B$10)/36)</f>
        <v>1814.947222222223</v>
      </c>
      <c r="S25" t="e">
        <f>INDEX(TABEL!C30:Q30,option)</f>
        <v>#VALUE!</v>
      </c>
    </row>
    <row r="26" spans="3:19">
      <c r="Q26">
        <f>Q25-(($Q$2-INPUT!$B$10)/36)</f>
        <v>1676.4666666666674</v>
      </c>
      <c r="S26" t="e">
        <f>INDEX(TABEL!C31:Q31,option)</f>
        <v>#VALUE!</v>
      </c>
    </row>
    <row r="27" spans="3:19">
      <c r="Q27">
        <f>Q26-(($Q$2-INPUT!$B$10)/36)</f>
        <v>1537.9861111111118</v>
      </c>
      <c r="S27" t="e">
        <f>INDEX(TABEL!C32:Q32,option)</f>
        <v>#VALUE!</v>
      </c>
    </row>
    <row r="28" spans="3:19">
      <c r="Q28">
        <f>Q27-(($Q$2-INPUT!$B$10)/36)</f>
        <v>1399.5055555555562</v>
      </c>
      <c r="S28" t="e">
        <f>INDEX(TABEL!C33:Q33,option)</f>
        <v>#VALUE!</v>
      </c>
    </row>
    <row r="29" spans="3:19">
      <c r="Q29">
        <f>Q28-(($Q$2-INPUT!$B$10)/36)</f>
        <v>1261.0250000000005</v>
      </c>
      <c r="S29" t="e">
        <f>INDEX(TABEL!C34:Q34,option)</f>
        <v>#VALUE!</v>
      </c>
    </row>
    <row r="30" spans="3:19">
      <c r="Q30">
        <f>Q29-(($Q$2-INPUT!$B$10)/36)</f>
        <v>1122.5444444444449</v>
      </c>
      <c r="S30" t="e">
        <f>INDEX(TABEL!C35:Q35,option)</f>
        <v>#VALUE!</v>
      </c>
    </row>
    <row r="31" spans="3:19">
      <c r="Q31">
        <f>Q30-(($Q$2-INPUT!$B$10)/36)</f>
        <v>984.06388888888932</v>
      </c>
      <c r="S31" t="e">
        <f>INDEX(TABEL!C36:Q36,option)</f>
        <v>#VALUE!</v>
      </c>
    </row>
    <row r="32" spans="3:19">
      <c r="Q32">
        <f>Q31-(($Q$2-INPUT!$B$10)/36)</f>
        <v>845.58333333333371</v>
      </c>
      <c r="S32" t="e">
        <f>INDEX(TABEL!C37:Q37,option)</f>
        <v>#VALUE!</v>
      </c>
    </row>
    <row r="33" spans="17:19">
      <c r="Q33">
        <f>Q32-(($Q$2-INPUT!$B$10)/36)</f>
        <v>707.1027777777781</v>
      </c>
      <c r="S33" t="e">
        <f>INDEX(TABEL!C38:Q38,option)</f>
        <v>#VALUE!</v>
      </c>
    </row>
    <row r="34" spans="17:19">
      <c r="Q34">
        <f>Q33-(($Q$2-INPUT!$B$10)/36)</f>
        <v>568.62222222222249</v>
      </c>
      <c r="S34" t="e">
        <f>INDEX(TABEL!C39:Q39,option)</f>
        <v>#VALUE!</v>
      </c>
    </row>
    <row r="35" spans="17:19">
      <c r="Q35">
        <f>Q34-(($Q$2-INPUT!$B$10)/36)</f>
        <v>430.14166666666694</v>
      </c>
      <c r="S35" t="e">
        <f>INDEX(TABEL!C40:Q40,option)</f>
        <v>#VALUE!</v>
      </c>
    </row>
    <row r="36" spans="17:19">
      <c r="Q36">
        <f>Q35-(($Q$2-INPUT!$B$10)/36)</f>
        <v>291.66111111111138</v>
      </c>
      <c r="S36" t="e">
        <f>INDEX(TABEL!C41:Q41,option)</f>
        <v>#VALUE!</v>
      </c>
    </row>
    <row r="37" spans="17:19">
      <c r="Q37">
        <f>Q36-(($Q$2-INPUT!$B$10)/36)</f>
        <v>153.18055555555583</v>
      </c>
      <c r="S37" t="e">
        <f>INDEX(TABEL!C42:Q42,option)</f>
        <v>#VALUE!</v>
      </c>
    </row>
    <row r="38" spans="17:19">
      <c r="Q38">
        <f>Q37-(($Q$2-INPUT!$B$10)/36)</f>
        <v>14.700000000000273</v>
      </c>
      <c r="S38" t="e">
        <f>INDEX(TABEL!C43:Q43,option)</f>
        <v>#VALUE!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INPUT</vt:lpstr>
      <vt:lpstr>OUTPUT</vt:lpstr>
      <vt:lpstr>TABEL</vt:lpstr>
      <vt:lpstr>GRAPH</vt:lpstr>
      <vt:lpstr>NOTES</vt:lpstr>
      <vt:lpstr>CORET</vt:lpstr>
      <vt:lpstr>option</vt:lpstr>
      <vt:lpstr>INPUT!Print_Area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anwar santoso</cp:lastModifiedBy>
  <dcterms:created xsi:type="dcterms:W3CDTF">2018-12-23T16:12:04Z</dcterms:created>
  <dcterms:modified xsi:type="dcterms:W3CDTF">2020-12-11T12:01:10Z</dcterms:modified>
</cp:coreProperties>
</file>